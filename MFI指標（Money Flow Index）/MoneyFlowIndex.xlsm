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loud\个人资料\06创业\EXCEL炒股\博客文章\MFI指标\"/>
    </mc:Choice>
  </mc:AlternateContent>
  <bookViews>
    <workbookView xWindow="0" yWindow="0" windowWidth="15348" windowHeight="4632"/>
  </bookViews>
  <sheets>
    <sheet name="参数Parameters" sheetId="1" r:id="rId1"/>
    <sheet name="数据Data" sheetId="2" r:id="rId2"/>
    <sheet name="说明Memo" sheetId="3" r:id="rId3"/>
  </sheets>
  <definedNames>
    <definedName name="avReturn">#REF!</definedName>
    <definedName name="endDate">参数Parameters!#REF!</definedName>
    <definedName name="ExternalData_1" localSheetId="1">数据Data!$A$1:$A$356</definedName>
    <definedName name="ExternalData_10" localSheetId="1">数据Data!$A$1:$A$356</definedName>
    <definedName name="ExternalData_11" localSheetId="1">数据Data!$A$1:$A$356</definedName>
    <definedName name="ExternalData_12" localSheetId="1">数据Data!$A$1:$A$356</definedName>
    <definedName name="ExternalData_13" localSheetId="1">数据Data!$A$1:$A$356</definedName>
    <definedName name="ExternalData_138" localSheetId="1">数据Data!$A$1:$A$998</definedName>
    <definedName name="ExternalData_139" localSheetId="1">数据Data!$A$1:$A$1002</definedName>
    <definedName name="ExternalData_14" localSheetId="1">数据Data!$A$1:$A$356</definedName>
    <definedName name="ExternalData_140" localSheetId="1">数据Data!$A$1:$A$1002</definedName>
    <definedName name="ExternalData_141" localSheetId="1">数据Data!$A$1:$A$1002</definedName>
    <definedName name="ExternalData_142" localSheetId="1">数据Data!$A$1:$A$1002</definedName>
    <definedName name="ExternalData_143" localSheetId="1">数据Data!$A$1:$A$1002</definedName>
    <definedName name="ExternalData_144" localSheetId="1">数据Data!$A$1:$A$1002</definedName>
    <definedName name="ExternalData_145" localSheetId="1">数据Data!$A$1:$A$1002</definedName>
    <definedName name="ExternalData_146" localSheetId="1">数据Data!$A$1:$A$1002</definedName>
    <definedName name="ExternalData_147" localSheetId="1">数据Data!$A$1:$A$1002</definedName>
    <definedName name="ExternalData_148" localSheetId="1">数据Data!$A$1:$A$1002</definedName>
    <definedName name="ExternalData_149" localSheetId="1">数据Data!$A$1:$A$1002</definedName>
    <definedName name="ExternalData_15" localSheetId="1">数据Data!$A$1:$A$356</definedName>
    <definedName name="ExternalData_150" localSheetId="1">数据Data!$A$1:$A$1002</definedName>
    <definedName name="ExternalData_151" localSheetId="1">数据Data!$A$1:$A$1002</definedName>
    <definedName name="ExternalData_152" localSheetId="1">数据Data!$A$1:$A$247</definedName>
    <definedName name="ExternalData_153" localSheetId="1">数据Data!$A$1:$A$1255</definedName>
    <definedName name="ExternalData_154" localSheetId="1">数据Data!$A$1:$A$1255</definedName>
    <definedName name="ExternalData_155" localSheetId="1">数据Data!$A$1:$A$1428</definedName>
    <definedName name="ExternalData_156" localSheetId="1">数据Data!$A$1:$A$1428</definedName>
    <definedName name="ExternalData_157" localSheetId="1">数据Data!$A$1:$A$1428</definedName>
    <definedName name="ExternalData_158" localSheetId="1">数据Data!$A$1:$A$1428</definedName>
    <definedName name="ExternalData_159" localSheetId="1">数据Data!$A$1:$A$1428</definedName>
    <definedName name="ExternalData_16" localSheetId="1">数据Data!$A$1:$A$608</definedName>
    <definedName name="ExternalData_160" localSheetId="1">数据Data!$A$1:$A$1428</definedName>
    <definedName name="ExternalData_161" localSheetId="1">数据Data!$A$1:$A$1428</definedName>
    <definedName name="ExternalData_162" localSheetId="1">数据Data!$A$1:$A$1428</definedName>
    <definedName name="ExternalData_163" localSheetId="1">数据Data!$A$1:$A$1428</definedName>
    <definedName name="ExternalData_164" localSheetId="1">数据Data!$A$1:$A$1428</definedName>
    <definedName name="ExternalData_165" localSheetId="1">数据Data!$A$1:$A$1428</definedName>
    <definedName name="ExternalData_166" localSheetId="1">数据Data!$A$1:$A$1428</definedName>
    <definedName name="ExternalData_167" localSheetId="1">数据Data!$A$1:$A$1428</definedName>
    <definedName name="ExternalData_168" localSheetId="1">数据Data!$A$1:$A$1428</definedName>
    <definedName name="ExternalData_169" localSheetId="1">数据Data!$A$1:$A$1428</definedName>
    <definedName name="ExternalData_17" localSheetId="1">数据Data!$A$1:$A$608</definedName>
    <definedName name="ExternalData_170" localSheetId="1">数据Data!$A$1:$A$1428</definedName>
    <definedName name="ExternalData_171" localSheetId="1">数据Data!$A$1:$A$1428</definedName>
    <definedName name="ExternalData_172" localSheetId="1">数据Data!$A$1:$A$1428</definedName>
    <definedName name="ExternalData_173" localSheetId="1">数据Data!$A$1:$A$1428</definedName>
    <definedName name="ExternalData_174" localSheetId="1">数据Data!$A$1:$A$1428</definedName>
    <definedName name="ExternalData_175" localSheetId="1">数据Data!$A$1:$A$1428</definedName>
    <definedName name="ExternalData_176" localSheetId="1">数据Data!$A$1:$A$1428</definedName>
    <definedName name="ExternalData_177" localSheetId="1">数据Data!$A$1:$A$1428</definedName>
    <definedName name="ExternalData_178" localSheetId="1">数据Data!$A$1:$A$1428</definedName>
    <definedName name="ExternalData_179" localSheetId="1">数据Data!$A$1:$A$1428</definedName>
    <definedName name="ExternalData_18" localSheetId="1">数据Data!$A$1:$A$608</definedName>
    <definedName name="ExternalData_180" localSheetId="1">数据Data!$A$1:$A$1428</definedName>
    <definedName name="ExternalData_181" localSheetId="1">数据Data!$A$1:$A$1428</definedName>
    <definedName name="ExternalData_182" localSheetId="1">数据Data!$A$1:$A$1428</definedName>
    <definedName name="ExternalData_183" localSheetId="1">数据Data!$A$1:$A$1428</definedName>
    <definedName name="ExternalData_184" localSheetId="1">数据Data!$A$1:$A$1428</definedName>
    <definedName name="ExternalData_185" localSheetId="1">数据Data!$A$1:$A$124</definedName>
    <definedName name="ExternalData_186" localSheetId="1">数据Data!$A$1:$A$31</definedName>
    <definedName name="ExternalData_187" localSheetId="1">数据Data!$A$1:$A$31</definedName>
    <definedName name="ExternalData_188" localSheetId="1">数据Data!$A$1:$A$31</definedName>
    <definedName name="ExternalData_189" localSheetId="1">数据Data!$A$1:$A$31</definedName>
    <definedName name="ExternalData_19" localSheetId="1">数据Data!$A$1:$A$104</definedName>
    <definedName name="ExternalData_190" localSheetId="1">数据Data!$A$1:$A$31</definedName>
    <definedName name="ExternalData_191" localSheetId="1">数据Data!$A$1:$A$31</definedName>
    <definedName name="ExternalData_192" localSheetId="1">数据Data!$A$1:$A$31</definedName>
    <definedName name="ExternalData_193" localSheetId="1">数据Data!$A$1:$A$31</definedName>
    <definedName name="ExternalData_194" localSheetId="1">数据Data!$A$1:$A$31</definedName>
    <definedName name="ExternalData_195" localSheetId="1">数据Data!$A$1:$A$31</definedName>
    <definedName name="ExternalData_196" localSheetId="1">数据Data!$A$1:$A$31</definedName>
    <definedName name="ExternalData_197" localSheetId="1">数据Data!$A$1:$A$31</definedName>
    <definedName name="ExternalData_198" localSheetId="1">数据Data!$A$1:$A$31</definedName>
    <definedName name="ExternalData_199" localSheetId="1">数据Data!$A$1:$A$31</definedName>
    <definedName name="ExternalData_2" localSheetId="1">数据Data!$A$1:$A$356</definedName>
    <definedName name="ExternalData_20" localSheetId="1">数据Data!$A$1:$A$104</definedName>
    <definedName name="ExternalData_200" localSheetId="1">数据Data!$A$1:$A$31</definedName>
    <definedName name="ExternalData_201" localSheetId="1">数据Data!$A$1:$A$31</definedName>
    <definedName name="ExternalData_202" localSheetId="1">数据Data!$A$1:$A$31</definedName>
    <definedName name="ExternalData_203" localSheetId="1">数据Data!$A$1:$A$31</definedName>
    <definedName name="ExternalData_204" localSheetId="1">数据Data!$A$1:$A$31</definedName>
    <definedName name="ExternalData_205" localSheetId="1">数据Data!$A$1:$A$31</definedName>
    <definedName name="ExternalData_206" localSheetId="1">数据Data!$A$1:$A$1535</definedName>
    <definedName name="ExternalData_207" localSheetId="1">数据Data!$A$1:$A$254</definedName>
    <definedName name="ExternalData_208" localSheetId="1">数据Data!$A$1:$A$254</definedName>
    <definedName name="ExternalData_209" localSheetId="1">数据Data!$A$1:$A$254</definedName>
    <definedName name="ExternalData_21" localSheetId="1">数据Data!$A$1:$A$1112</definedName>
    <definedName name="ExternalData_210" localSheetId="1">数据Data!$A$1:$A$1002</definedName>
    <definedName name="ExternalData_211" localSheetId="1">数据Data!$A$1:$A$1002</definedName>
    <definedName name="ExternalData_212" localSheetId="1">数据Data!$A$1:$A$1002</definedName>
    <definedName name="ExternalData_213" localSheetId="1">数据Data!$A$1:$A$1002</definedName>
    <definedName name="ExternalData_214" localSheetId="1">数据Data!$A$1:$A$1002</definedName>
    <definedName name="ExternalData_215" localSheetId="1">数据Data!$A$1:$A$1002</definedName>
    <definedName name="ExternalData_216" localSheetId="1">数据Data!$A$1:$A$1002</definedName>
    <definedName name="ExternalData_217" localSheetId="1">数据Data!$A$1:$A$1002</definedName>
    <definedName name="ExternalData_218" localSheetId="1">数据Data!$A$1:$A$1255</definedName>
    <definedName name="ExternalData_219" localSheetId="1">数据Data!$A$1:$A$1002</definedName>
    <definedName name="ExternalData_22" localSheetId="1">数据Data!$A$1:$A$608</definedName>
    <definedName name="ExternalData_220" localSheetId="1">数据Data!$A$1:$A$1002</definedName>
    <definedName name="ExternalData_221" localSheetId="1">数据Data!$A$1:$A$998</definedName>
    <definedName name="ExternalData_222" localSheetId="1">数据Data!$A$1:$A$1255</definedName>
    <definedName name="ExternalData_223" localSheetId="1">数据Data!$A$1:$A$1002</definedName>
    <definedName name="ExternalData_224" localSheetId="1">数据Data!$A$1:$A$1002</definedName>
    <definedName name="ExternalData_225" localSheetId="1">数据Data!$A$1:$A$1002</definedName>
    <definedName name="ExternalData_226" localSheetId="1">数据Data!$A$1:$A$1255</definedName>
    <definedName name="ExternalData_227" localSheetId="1">数据Data!$A$1:$A$1002</definedName>
    <definedName name="ExternalData_228" localSheetId="1">数据Data!$A$1:$A$1002</definedName>
    <definedName name="ExternalData_229" localSheetId="1">数据Data!$A$1:$A$247</definedName>
    <definedName name="ExternalData_23" localSheetId="1">数据Data!$A$1:$A$608</definedName>
    <definedName name="ExternalData_230" localSheetId="1">数据Data!$A$1:$A$1002</definedName>
    <definedName name="ExternalData_231" localSheetId="1">数据Data!$A$1:$A$1002</definedName>
    <definedName name="ExternalData_232" localSheetId="1">数据Data!$A$1:$A$1002</definedName>
    <definedName name="ExternalData_233" localSheetId="1">数据Data!$A$1:$A$1002</definedName>
    <definedName name="ExternalData_234" localSheetId="1">数据Data!$A$1:$A$1002</definedName>
    <definedName name="ExternalData_235" localSheetId="1">数据Data!$A$1:$A$1002</definedName>
    <definedName name="ExternalData_236" localSheetId="1">数据Data!$A$1:$A$1255</definedName>
    <definedName name="ExternalData_237" localSheetId="1">数据Data!$A$1:$A$1002</definedName>
    <definedName name="ExternalData_238" localSheetId="1">数据Data!$A$1:$A$998</definedName>
    <definedName name="ExternalData_239" localSheetId="1">数据Data!$A$1:$A$1002</definedName>
    <definedName name="ExternalData_24" localSheetId="1">数据Data!$A$1:$A$608</definedName>
    <definedName name="ExternalData_240" localSheetId="1">数据Data!$A$1:$A$1002</definedName>
    <definedName name="ExternalData_241" localSheetId="1">数据Data!$A$1:$A$247</definedName>
    <definedName name="ExternalData_242" localSheetId="1">数据Data!$A$1:$A$1002</definedName>
    <definedName name="ExternalData_243" localSheetId="1">数据Data!$A$1:$A$1002</definedName>
    <definedName name="ExternalData_25" localSheetId="1">数据Data!$A$1:$A$608</definedName>
    <definedName name="ExternalData_26" localSheetId="1">数据Data!$A$1:$A$608</definedName>
    <definedName name="ExternalData_27" localSheetId="1">数据Data!$A$1:$A$608</definedName>
    <definedName name="ExternalData_28" localSheetId="1">数据Data!$A$1:$A$1112</definedName>
    <definedName name="ExternalData_29" localSheetId="1">数据Data!$A$1:$A$1112</definedName>
    <definedName name="ExternalData_3" localSheetId="1">数据Data!$A$1:$A$356</definedName>
    <definedName name="ExternalData_30" localSheetId="1">数据Data!$A$1:$A$1112</definedName>
    <definedName name="ExternalData_31" localSheetId="1">数据Data!$A$1:$A$1112</definedName>
    <definedName name="ExternalData_32" localSheetId="1">数据Data!$A$1:$A$104</definedName>
    <definedName name="ExternalData_33" localSheetId="1">数据Data!$A$1:$A$106</definedName>
    <definedName name="ExternalData_34" localSheetId="1">数据Data!$A$1:$A$24</definedName>
    <definedName name="ExternalData_35" localSheetId="1">数据Data!$A$1:$A$30</definedName>
    <definedName name="ExternalData_36" localSheetId="1">数据Data!$A$1:$A$30</definedName>
    <definedName name="ExternalData_37" localSheetId="1">数据Data!$A$1:$A$30</definedName>
    <definedName name="ExternalData_38" localSheetId="1">数据Data!$A$1:$A$31</definedName>
    <definedName name="ExternalData_39" localSheetId="1">数据Data!$A$1:$A$31</definedName>
    <definedName name="ExternalData_4" localSheetId="1">数据Data!$A$1:$A$356</definedName>
    <definedName name="ExternalData_40" localSheetId="1">数据Data!$A$1:$A$31</definedName>
    <definedName name="ExternalData_41" localSheetId="1">数据Data!$A$1:$A$31</definedName>
    <definedName name="ExternalData_42" localSheetId="1">数据Data!$A$1:$A$31</definedName>
    <definedName name="ExternalData_43" localSheetId="1">数据Data!$A$1:$A$31</definedName>
    <definedName name="ExternalData_44" localSheetId="1">数据Data!$A$1:$A$31</definedName>
    <definedName name="ExternalData_45" localSheetId="1">数据Data!$A$1:$A$31</definedName>
    <definedName name="ExternalData_46" localSheetId="1">数据Data!$A$1:$A$31</definedName>
    <definedName name="ExternalData_47" localSheetId="1">数据Data!$A$1:$A$31</definedName>
    <definedName name="ExternalData_48" localSheetId="1">数据Data!$A$1:$A$31</definedName>
    <definedName name="ExternalData_49" localSheetId="1">数据Data!$A$1:$A$31</definedName>
    <definedName name="ExternalData_50" localSheetId="1">数据Data!$A$1:$A$31</definedName>
    <definedName name="ExternalData_51" localSheetId="1">数据Data!$A$1:$A$31</definedName>
    <definedName name="ExternalData_52" localSheetId="1">数据Data!$A$1:$A$31</definedName>
    <definedName name="ExternalData_53" localSheetId="1">数据Data!$A$1:$A$31</definedName>
    <definedName name="ExternalData_54" localSheetId="1">数据Data!$A$1:$A$31</definedName>
    <definedName name="ExternalData_55" localSheetId="1">数据Data!$A$1:$A$31</definedName>
    <definedName name="ExternalData_56" localSheetId="1">数据Data!$A$1:$A$31</definedName>
    <definedName name="ExternalData_57" localSheetId="1">数据Data!$A$1:$A$31</definedName>
    <definedName name="ExternalData_58" localSheetId="1">数据Data!$A$1:$A$31</definedName>
    <definedName name="ExternalData_59" localSheetId="1">数据Data!$A$1:$A$31</definedName>
    <definedName name="ExternalData_6" localSheetId="1">数据Data!$A$1:$A$356</definedName>
    <definedName name="ExternalData_61" localSheetId="1">数据Data!$A$1:$A$31</definedName>
    <definedName name="ExternalData_62" localSheetId="1">数据Data!$A$1:$A$31</definedName>
    <definedName name="ExternalData_63" localSheetId="1">数据Data!$A$1:$A$172</definedName>
    <definedName name="ExternalData_64" localSheetId="1">数据Data!$A$1:$A$160</definedName>
    <definedName name="ExternalData_65" localSheetId="1">数据Data!$A$1:$A$160</definedName>
    <definedName name="ExternalData_66" localSheetId="1">数据Data!$A$1:$A$76</definedName>
    <definedName name="ExternalData_67" localSheetId="1">数据Data!$A$1:$A$76</definedName>
    <definedName name="ExternalData_68" localSheetId="1">数据Data!$A$1:$A$76</definedName>
    <definedName name="ExternalData_69" localSheetId="1">数据Data!$A$1:$A$76</definedName>
    <definedName name="ExternalData_70" localSheetId="1">数据Data!$A$1:$A$76</definedName>
    <definedName name="ExternalData_71" localSheetId="1">数据Data!$A$1:$A$76</definedName>
    <definedName name="ExternalData_72" localSheetId="1">数据Data!$A$1:$A$76</definedName>
    <definedName name="ExternalData_73" localSheetId="1">数据Data!$A$1:$A$76</definedName>
    <definedName name="ExternalData_74" localSheetId="1">数据Data!$A$1:$A$76</definedName>
    <definedName name="ExternalData_75" localSheetId="1">数据Data!$A$1:$A$328</definedName>
    <definedName name="ExternalData_76" localSheetId="1">数据Data!$A$1:$A$76</definedName>
    <definedName name="ExternalData_77" localSheetId="1">数据Data!$A$1:$A$23</definedName>
    <definedName name="ExternalData_78" localSheetId="1">数据Data!$A$1:$A$33</definedName>
    <definedName name="ExternalData_79" localSheetId="1">数据Data!$A$1:$A$65</definedName>
    <definedName name="ExternalData_8" localSheetId="1">数据Data!$A$1:$A$356</definedName>
    <definedName name="ExternalData_80" localSheetId="1">数据Data!$A$1:$A$78</definedName>
    <definedName name="ExternalData_81" localSheetId="1">数据Data!$A$1:$A$78</definedName>
    <definedName name="ExternalData_82" localSheetId="1">数据Data!$A$1:$A$78</definedName>
    <definedName name="ExternalData_83" localSheetId="1">数据Data!$A$1:$A$109</definedName>
    <definedName name="ExternalData_84" localSheetId="1">数据Data!$A$1:$A$109</definedName>
    <definedName name="ExternalData_85" localSheetId="1">数据Data!$A$1:$A$109</definedName>
    <definedName name="ExternalData_86" localSheetId="1">数据Data!$A$1:$A$109</definedName>
    <definedName name="lookbackPeriod">#REF!</definedName>
    <definedName name="smoothingPeriod">#REF!</definedName>
    <definedName name="startDate">参数Parameters!$B$6</definedName>
    <definedName name="stDev">#REF!</definedName>
    <definedName name="ticker">参数Parameters!$B$5</definedName>
    <definedName name="timeWindow">参数Parameters!#REF!</definedName>
    <definedName name="vrnc">#REF!</definedName>
  </definedNames>
  <calcPr calcId="162913"/>
</workbook>
</file>

<file path=xl/calcChain.xml><?xml version="1.0" encoding="utf-8"?>
<calcChain xmlns="http://schemas.openxmlformats.org/spreadsheetml/2006/main">
  <c r="B6" i="1" l="1"/>
  <c r="B5" i="1"/>
  <c r="N16" i="2" l="1"/>
  <c r="M15" i="2"/>
  <c r="G2" i="2" l="1"/>
  <c r="H2" i="2" s="1"/>
  <c r="G3" i="2"/>
  <c r="G4" i="2"/>
  <c r="G5" i="2"/>
  <c r="H5" i="2" s="1"/>
  <c r="G6" i="2"/>
  <c r="H6" i="2" s="1"/>
  <c r="G7" i="2"/>
  <c r="I8" i="2" s="1"/>
  <c r="G8" i="2"/>
  <c r="H8" i="2" s="1"/>
  <c r="G9" i="2"/>
  <c r="H9" i="2" s="1"/>
  <c r="G10" i="2"/>
  <c r="H10" i="2" s="1"/>
  <c r="G11" i="2"/>
  <c r="G12" i="2"/>
  <c r="G13" i="2"/>
  <c r="H13" i="2" s="1"/>
  <c r="G14" i="2"/>
  <c r="H14" i="2" s="1"/>
  <c r="G15" i="2"/>
  <c r="G16" i="2"/>
  <c r="H16" i="2" s="1"/>
  <c r="G17" i="2"/>
  <c r="H17" i="2" s="1"/>
  <c r="G18" i="2"/>
  <c r="H18" i="2" s="1"/>
  <c r="G19" i="2"/>
  <c r="G20" i="2"/>
  <c r="G21" i="2"/>
  <c r="H21" i="2" s="1"/>
  <c r="G22" i="2"/>
  <c r="H22" i="2" s="1"/>
  <c r="G23" i="2"/>
  <c r="G24" i="2"/>
  <c r="H24" i="2" s="1"/>
  <c r="G25" i="2"/>
  <c r="H25" i="2" s="1"/>
  <c r="G26" i="2"/>
  <c r="H26" i="2" s="1"/>
  <c r="G27" i="2"/>
  <c r="G28" i="2"/>
  <c r="G29" i="2"/>
  <c r="H29" i="2" s="1"/>
  <c r="G30" i="2"/>
  <c r="H30" i="2" s="1"/>
  <c r="G31" i="2"/>
  <c r="G32" i="2"/>
  <c r="G33" i="2"/>
  <c r="H33" i="2" s="1"/>
  <c r="G34" i="2"/>
  <c r="H34" i="2" s="1"/>
  <c r="G35" i="2"/>
  <c r="G36" i="2"/>
  <c r="G37" i="2"/>
  <c r="G38" i="2"/>
  <c r="H38" i="2" s="1"/>
  <c r="G39" i="2"/>
  <c r="I40" i="2" s="1"/>
  <c r="G40" i="2"/>
  <c r="H40" i="2" s="1"/>
  <c r="G41" i="2"/>
  <c r="H41" i="2" s="1"/>
  <c r="G42" i="2"/>
  <c r="G43" i="2"/>
  <c r="G44" i="2"/>
  <c r="G45" i="2"/>
  <c r="H45" i="2" s="1"/>
  <c r="G46" i="2"/>
  <c r="H46" i="2" s="1"/>
  <c r="G47" i="2"/>
  <c r="G48" i="2"/>
  <c r="G49" i="2"/>
  <c r="H49" i="2" s="1"/>
  <c r="G50" i="2"/>
  <c r="H50" i="2" s="1"/>
  <c r="G51" i="2"/>
  <c r="G52" i="2"/>
  <c r="G53" i="2"/>
  <c r="H53" i="2" s="1"/>
  <c r="G54" i="2"/>
  <c r="H54" i="2" s="1"/>
  <c r="G55" i="2"/>
  <c r="G56" i="2"/>
  <c r="H56" i="2" s="1"/>
  <c r="G57" i="2"/>
  <c r="H57" i="2" s="1"/>
  <c r="G58" i="2"/>
  <c r="H58" i="2" s="1"/>
  <c r="G59" i="2"/>
  <c r="G60" i="2"/>
  <c r="G61" i="2"/>
  <c r="H61" i="2" s="1"/>
  <c r="G62" i="2"/>
  <c r="H62" i="2" s="1"/>
  <c r="G63" i="2"/>
  <c r="G64" i="2"/>
  <c r="H64" i="2" s="1"/>
  <c r="G65" i="2"/>
  <c r="H65" i="2" s="1"/>
  <c r="G66" i="2"/>
  <c r="H66" i="2" s="1"/>
  <c r="G67" i="2"/>
  <c r="G68" i="2"/>
  <c r="G69" i="2"/>
  <c r="H69" i="2" s="1"/>
  <c r="G70" i="2"/>
  <c r="H70" i="2" s="1"/>
  <c r="G71" i="2"/>
  <c r="I72" i="2" s="1"/>
  <c r="G72" i="2"/>
  <c r="H72" i="2" s="1"/>
  <c r="G73" i="2"/>
  <c r="H73" i="2" s="1"/>
  <c r="G74" i="2"/>
  <c r="H74" i="2" s="1"/>
  <c r="G75" i="2"/>
  <c r="G76" i="2"/>
  <c r="G77" i="2"/>
  <c r="G78" i="2"/>
  <c r="H78" i="2" s="1"/>
  <c r="G79" i="2"/>
  <c r="G80" i="2"/>
  <c r="H80" i="2" s="1"/>
  <c r="G81" i="2"/>
  <c r="H81" i="2" s="1"/>
  <c r="J81" i="2" s="1"/>
  <c r="G82" i="2"/>
  <c r="H82" i="2" s="1"/>
  <c r="G83" i="2"/>
  <c r="G84" i="2"/>
  <c r="G85" i="2"/>
  <c r="H85" i="2" s="1"/>
  <c r="G86" i="2"/>
  <c r="H86" i="2" s="1"/>
  <c r="G87" i="2"/>
  <c r="G88" i="2"/>
  <c r="H88" i="2" s="1"/>
  <c r="G89" i="2"/>
  <c r="H89" i="2" s="1"/>
  <c r="G90" i="2"/>
  <c r="H90" i="2" s="1"/>
  <c r="G91" i="2"/>
  <c r="G92" i="2"/>
  <c r="G93" i="2"/>
  <c r="G94" i="2"/>
  <c r="H94" i="2" s="1"/>
  <c r="G95" i="2"/>
  <c r="G96" i="2"/>
  <c r="H96" i="2" s="1"/>
  <c r="G97" i="2"/>
  <c r="H97" i="2" s="1"/>
  <c r="J97" i="2" s="1"/>
  <c r="G98" i="2"/>
  <c r="H98" i="2" s="1"/>
  <c r="G99" i="2"/>
  <c r="G100" i="2"/>
  <c r="G101" i="2"/>
  <c r="H101" i="2" s="1"/>
  <c r="G102" i="2"/>
  <c r="H102" i="2" s="1"/>
  <c r="G103" i="2"/>
  <c r="G104" i="2"/>
  <c r="H104" i="2" s="1"/>
  <c r="G105" i="2"/>
  <c r="H105" i="2" s="1"/>
  <c r="G106" i="2"/>
  <c r="H106" i="2" s="1"/>
  <c r="G107" i="2"/>
  <c r="G108" i="2"/>
  <c r="G109" i="2"/>
  <c r="G110" i="2"/>
  <c r="H110" i="2" s="1"/>
  <c r="G111" i="2"/>
  <c r="G112" i="2"/>
  <c r="G113" i="2"/>
  <c r="H113" i="2" s="1"/>
  <c r="G114" i="2"/>
  <c r="H114" i="2" s="1"/>
  <c r="G115" i="2"/>
  <c r="G116" i="2"/>
  <c r="G117" i="2"/>
  <c r="H117" i="2" s="1"/>
  <c r="G118" i="2"/>
  <c r="H118" i="2" s="1"/>
  <c r="G119" i="2"/>
  <c r="G120" i="2"/>
  <c r="G121" i="2"/>
  <c r="J121" i="2" s="1"/>
  <c r="G122" i="2"/>
  <c r="H122" i="2" s="1"/>
  <c r="G123" i="2"/>
  <c r="G124" i="2"/>
  <c r="G125" i="2"/>
  <c r="G126" i="2"/>
  <c r="G127" i="2"/>
  <c r="G128" i="2"/>
  <c r="G129" i="2"/>
  <c r="J129" i="2" s="1"/>
  <c r="G130" i="2"/>
  <c r="H130" i="2" s="1"/>
  <c r="G131" i="2"/>
  <c r="G132" i="2"/>
  <c r="G133" i="2"/>
  <c r="I133" i="2" s="1"/>
  <c r="G134" i="2"/>
  <c r="H134" i="2" s="1"/>
  <c r="G135" i="2"/>
  <c r="G136" i="2"/>
  <c r="G137" i="2"/>
  <c r="J137" i="2" s="1"/>
  <c r="G138" i="2"/>
  <c r="G139" i="2"/>
  <c r="G140" i="2"/>
  <c r="G141" i="2"/>
  <c r="G142" i="2"/>
  <c r="G143" i="2"/>
  <c r="G144" i="2"/>
  <c r="G145" i="2"/>
  <c r="G146" i="2"/>
  <c r="H146" i="2" s="1"/>
  <c r="G147" i="2"/>
  <c r="G148" i="2"/>
  <c r="G149" i="2"/>
  <c r="G150" i="2"/>
  <c r="H150" i="2" s="1"/>
  <c r="G151" i="2"/>
  <c r="G152" i="2"/>
  <c r="G153" i="2"/>
  <c r="G154" i="2"/>
  <c r="G155" i="2"/>
  <c r="G156" i="2"/>
  <c r="G157" i="2"/>
  <c r="G158" i="2"/>
  <c r="G159" i="2"/>
  <c r="G160" i="2"/>
  <c r="G161" i="2"/>
  <c r="J161" i="2" s="1"/>
  <c r="G162" i="2"/>
  <c r="H162" i="2" s="1"/>
  <c r="G163" i="2"/>
  <c r="G164" i="2"/>
  <c r="G165" i="2"/>
  <c r="G166" i="2"/>
  <c r="H166" i="2" s="1"/>
  <c r="G167" i="2"/>
  <c r="G168" i="2"/>
  <c r="G169" i="2"/>
  <c r="G170" i="2"/>
  <c r="H170" i="2" s="1"/>
  <c r="G171" i="2"/>
  <c r="G172" i="2"/>
  <c r="G173" i="2"/>
  <c r="G174" i="2"/>
  <c r="G175" i="2"/>
  <c r="G176" i="2"/>
  <c r="G177" i="2"/>
  <c r="G178" i="2"/>
  <c r="H178" i="2" s="1"/>
  <c r="G179" i="2"/>
  <c r="G180" i="2"/>
  <c r="G181" i="2"/>
  <c r="J181" i="2" s="1"/>
  <c r="G182" i="2"/>
  <c r="H182" i="2" s="1"/>
  <c r="G183" i="2"/>
  <c r="G184" i="2"/>
  <c r="G185" i="2"/>
  <c r="G186" i="2"/>
  <c r="H186" i="2" s="1"/>
  <c r="G187" i="2"/>
  <c r="G188" i="2"/>
  <c r="G189" i="2"/>
  <c r="J189" i="2" s="1"/>
  <c r="G190" i="2"/>
  <c r="G191" i="2"/>
  <c r="G192" i="2"/>
  <c r="G193" i="2"/>
  <c r="G194" i="2"/>
  <c r="H194" i="2" s="1"/>
  <c r="G195" i="2"/>
  <c r="G196" i="2"/>
  <c r="G197" i="2"/>
  <c r="J197" i="2" s="1"/>
  <c r="G198" i="2"/>
  <c r="H198" i="2" s="1"/>
  <c r="G199" i="2"/>
  <c r="G200" i="2"/>
  <c r="G201" i="2"/>
  <c r="G202" i="2"/>
  <c r="H202" i="2" s="1"/>
  <c r="G203" i="2"/>
  <c r="G204" i="2"/>
  <c r="G205" i="2"/>
  <c r="J205" i="2" s="1"/>
  <c r="G206" i="2"/>
  <c r="G207" i="2"/>
  <c r="G208" i="2"/>
  <c r="G209" i="2"/>
  <c r="G210" i="2"/>
  <c r="H210" i="2" s="1"/>
  <c r="G211" i="2"/>
  <c r="G212" i="2"/>
  <c r="G213" i="2"/>
  <c r="J213" i="2" s="1"/>
  <c r="G214" i="2"/>
  <c r="H214" i="2" s="1"/>
  <c r="G215" i="2"/>
  <c r="G216" i="2"/>
  <c r="G217" i="2"/>
  <c r="G218" i="2"/>
  <c r="G219" i="2"/>
  <c r="G220" i="2"/>
  <c r="G221" i="2"/>
  <c r="G222" i="2"/>
  <c r="G223" i="2"/>
  <c r="G224" i="2"/>
  <c r="G225" i="2"/>
  <c r="J225" i="2" s="1"/>
  <c r="G226" i="2"/>
  <c r="H226" i="2" s="1"/>
  <c r="G227" i="2"/>
  <c r="G228" i="2"/>
  <c r="G229" i="2"/>
  <c r="J229" i="2" s="1"/>
  <c r="G230" i="2"/>
  <c r="H230" i="2" s="1"/>
  <c r="G231" i="2"/>
  <c r="G232" i="2"/>
  <c r="G233" i="2"/>
  <c r="G234" i="2"/>
  <c r="G235" i="2"/>
  <c r="G236" i="2"/>
  <c r="G237" i="2"/>
  <c r="G238" i="2"/>
  <c r="G239" i="2"/>
  <c r="G240" i="2"/>
  <c r="G241" i="2"/>
  <c r="G242" i="2"/>
  <c r="H242" i="2" s="1"/>
  <c r="G243" i="2"/>
  <c r="G244" i="2"/>
  <c r="G245" i="2"/>
  <c r="I245" i="2" s="1"/>
  <c r="G246" i="2"/>
  <c r="H246" i="2" s="1"/>
  <c r="G247" i="2"/>
  <c r="G248" i="2"/>
  <c r="G249" i="2"/>
  <c r="G250" i="2"/>
  <c r="G251" i="2"/>
  <c r="G252" i="2"/>
  <c r="J250" i="2" l="1"/>
  <c r="J234" i="2"/>
  <c r="J218" i="2"/>
  <c r="J210" i="2"/>
  <c r="J178" i="2"/>
  <c r="J162" i="2"/>
  <c r="J154" i="2"/>
  <c r="J146" i="2"/>
  <c r="J138" i="2"/>
  <c r="J130" i="2"/>
  <c r="H138" i="2"/>
  <c r="J202" i="2"/>
  <c r="H154" i="2"/>
  <c r="I104" i="2"/>
  <c r="H42" i="2"/>
  <c r="J42" i="2" s="1"/>
  <c r="H250" i="2"/>
  <c r="H234" i="2"/>
  <c r="H218" i="2"/>
  <c r="J186" i="2"/>
  <c r="J170" i="2"/>
  <c r="J122" i="2"/>
  <c r="J194" i="2"/>
  <c r="I16" i="2"/>
  <c r="J226" i="2"/>
  <c r="I246" i="2"/>
  <c r="I242" i="2"/>
  <c r="I238" i="2"/>
  <c r="I230" i="2"/>
  <c r="I226" i="2"/>
  <c r="I214" i="2"/>
  <c r="I210" i="2"/>
  <c r="I206" i="2"/>
  <c r="I198" i="2"/>
  <c r="I194" i="2"/>
  <c r="I186" i="2"/>
  <c r="I182" i="2"/>
  <c r="I178" i="2"/>
  <c r="I174" i="2"/>
  <c r="I170" i="2"/>
  <c r="I166" i="2"/>
  <c r="I162" i="2"/>
  <c r="I158" i="2"/>
  <c r="I150" i="2"/>
  <c r="I146" i="2"/>
  <c r="I142" i="2"/>
  <c r="I134" i="2"/>
  <c r="I130" i="2"/>
  <c r="I122" i="2"/>
  <c r="H238" i="2"/>
  <c r="H222" i="2"/>
  <c r="I222" i="2" s="1"/>
  <c r="H206" i="2"/>
  <c r="H190" i="2"/>
  <c r="I190" i="2" s="1"/>
  <c r="H174" i="2"/>
  <c r="H158" i="2"/>
  <c r="J158" i="2" s="1"/>
  <c r="H142" i="2"/>
  <c r="J142" i="2" s="1"/>
  <c r="H126" i="2"/>
  <c r="I126" i="2" s="1"/>
  <c r="I80" i="2"/>
  <c r="J242" i="2"/>
  <c r="H252" i="2"/>
  <c r="J252" i="2" s="1"/>
  <c r="I252" i="2"/>
  <c r="H248" i="2"/>
  <c r="J248" i="2" s="1"/>
  <c r="I248" i="2"/>
  <c r="H244" i="2"/>
  <c r="J244" i="2" s="1"/>
  <c r="I244" i="2"/>
  <c r="J240" i="2"/>
  <c r="H240" i="2"/>
  <c r="I240" i="2"/>
  <c r="J236" i="2"/>
  <c r="H236" i="2"/>
  <c r="I236" i="2" s="1"/>
  <c r="H232" i="2"/>
  <c r="J232" i="2" s="1"/>
  <c r="I232" i="2"/>
  <c r="J228" i="2"/>
  <c r="H228" i="2"/>
  <c r="I228" i="2" s="1"/>
  <c r="J224" i="2"/>
  <c r="H224" i="2"/>
  <c r="I224" i="2"/>
  <c r="J220" i="2"/>
  <c r="H220" i="2"/>
  <c r="I220" i="2" s="1"/>
  <c r="J216" i="2"/>
  <c r="H216" i="2"/>
  <c r="I216" i="2" s="1"/>
  <c r="J212" i="2"/>
  <c r="H212" i="2"/>
  <c r="I212" i="2" s="1"/>
  <c r="H208" i="2"/>
  <c r="J208" i="2" s="1"/>
  <c r="I208" i="2"/>
  <c r="J204" i="2"/>
  <c r="H204" i="2"/>
  <c r="I204" i="2" s="1"/>
  <c r="J200" i="2"/>
  <c r="H200" i="2"/>
  <c r="I200" i="2"/>
  <c r="H196" i="2"/>
  <c r="I196" i="2" s="1"/>
  <c r="H192" i="2"/>
  <c r="I192" i="2" s="1"/>
  <c r="J188" i="2"/>
  <c r="H188" i="2"/>
  <c r="I188" i="2" s="1"/>
  <c r="H184" i="2"/>
  <c r="J184" i="2" s="1"/>
  <c r="I184" i="2"/>
  <c r="J180" i="2"/>
  <c r="H180" i="2"/>
  <c r="I180" i="2" s="1"/>
  <c r="J176" i="2"/>
  <c r="H176" i="2"/>
  <c r="I176" i="2" s="1"/>
  <c r="J172" i="2"/>
  <c r="H172" i="2"/>
  <c r="I172" i="2" s="1"/>
  <c r="J168" i="2"/>
  <c r="H168" i="2"/>
  <c r="I168" i="2" s="1"/>
  <c r="J164" i="2"/>
  <c r="H164" i="2"/>
  <c r="I164" i="2" s="1"/>
  <c r="H160" i="2"/>
  <c r="J160" i="2" s="1"/>
  <c r="I160" i="2"/>
  <c r="H156" i="2"/>
  <c r="J156" i="2" s="1"/>
  <c r="J152" i="2"/>
  <c r="H152" i="2"/>
  <c r="I152" i="2" s="1"/>
  <c r="H148" i="2"/>
  <c r="J148" i="2" s="1"/>
  <c r="H144" i="2"/>
  <c r="J144" i="2" s="1"/>
  <c r="I144" i="2"/>
  <c r="H140" i="2"/>
  <c r="J140" i="2" s="1"/>
  <c r="J136" i="2"/>
  <c r="H136" i="2"/>
  <c r="I136" i="2" s="1"/>
  <c r="J132" i="2"/>
  <c r="H132" i="2"/>
  <c r="I132" i="2"/>
  <c r="H128" i="2"/>
  <c r="J128" i="2" s="1"/>
  <c r="H124" i="2"/>
  <c r="I124" i="2" s="1"/>
  <c r="J120" i="2"/>
  <c r="H120" i="2"/>
  <c r="I120" i="2" s="1"/>
  <c r="H116" i="2"/>
  <c r="I116" i="2" s="1"/>
  <c r="J112" i="2"/>
  <c r="H112" i="2"/>
  <c r="I112" i="2" s="1"/>
  <c r="I100" i="2"/>
  <c r="I68" i="2"/>
  <c r="I28" i="2"/>
  <c r="J4" i="2"/>
  <c r="I241" i="2"/>
  <c r="I145" i="2"/>
  <c r="J251" i="2"/>
  <c r="H251" i="2"/>
  <c r="I251" i="2" s="1"/>
  <c r="J243" i="2"/>
  <c r="H243" i="2"/>
  <c r="I243" i="2" s="1"/>
  <c r="J239" i="2"/>
  <c r="H239" i="2"/>
  <c r="I239" i="2"/>
  <c r="H235" i="2"/>
  <c r="J235" i="2" s="1"/>
  <c r="I235" i="2"/>
  <c r="H227" i="2"/>
  <c r="J227" i="2" s="1"/>
  <c r="I227" i="2"/>
  <c r="J223" i="2"/>
  <c r="H223" i="2"/>
  <c r="I223" i="2"/>
  <c r="H219" i="2"/>
  <c r="J219" i="2" s="1"/>
  <c r="I219" i="2"/>
  <c r="J215" i="2"/>
  <c r="H215" i="2"/>
  <c r="I215" i="2" s="1"/>
  <c r="H211" i="2"/>
  <c r="I211" i="2" s="1"/>
  <c r="H207" i="2"/>
  <c r="J207" i="2" s="1"/>
  <c r="I207" i="2"/>
  <c r="J203" i="2"/>
  <c r="H203" i="2"/>
  <c r="I203" i="2" s="1"/>
  <c r="H199" i="2"/>
  <c r="J199" i="2" s="1"/>
  <c r="I199" i="2"/>
  <c r="H195" i="2"/>
  <c r="I195" i="2" s="1"/>
  <c r="H191" i="2"/>
  <c r="J191" i="2" s="1"/>
  <c r="I191" i="2"/>
  <c r="H187" i="2"/>
  <c r="J187" i="2" s="1"/>
  <c r="I187" i="2"/>
  <c r="J183" i="2"/>
  <c r="H183" i="2"/>
  <c r="I183" i="2" s="1"/>
  <c r="J179" i="2"/>
  <c r="H179" i="2"/>
  <c r="I179" i="2" s="1"/>
  <c r="H175" i="2"/>
  <c r="J175" i="2" s="1"/>
  <c r="I175" i="2"/>
  <c r="H171" i="2"/>
  <c r="I171" i="2" s="1"/>
  <c r="J167" i="2"/>
  <c r="H167" i="2"/>
  <c r="I167" i="2" s="1"/>
  <c r="H163" i="2"/>
  <c r="I163" i="2" s="1"/>
  <c r="H159" i="2"/>
  <c r="J159" i="2" s="1"/>
  <c r="H155" i="2"/>
  <c r="J155" i="2" s="1"/>
  <c r="I155" i="2"/>
  <c r="H151" i="2"/>
  <c r="I151" i="2" s="1"/>
  <c r="J147" i="2"/>
  <c r="H147" i="2"/>
  <c r="I147" i="2" s="1"/>
  <c r="H143" i="2"/>
  <c r="J143" i="2" s="1"/>
  <c r="I143" i="2"/>
  <c r="H139" i="2"/>
  <c r="J139" i="2" s="1"/>
  <c r="J135" i="2"/>
  <c r="H135" i="2"/>
  <c r="I135" i="2" s="1"/>
  <c r="J131" i="2"/>
  <c r="H131" i="2"/>
  <c r="I131" i="2" s="1"/>
  <c r="J127" i="2"/>
  <c r="H127" i="2"/>
  <c r="I127" i="2"/>
  <c r="J123" i="2"/>
  <c r="H123" i="2"/>
  <c r="I123" i="2" s="1"/>
  <c r="J119" i="2"/>
  <c r="H119" i="2"/>
  <c r="I119" i="2" s="1"/>
  <c r="J115" i="2"/>
  <c r="H115" i="2"/>
  <c r="I115" i="2" s="1"/>
  <c r="H111" i="2"/>
  <c r="J111" i="2" s="1"/>
  <c r="I111" i="2"/>
  <c r="I107" i="2"/>
  <c r="H107" i="2"/>
  <c r="J107" i="2" s="1"/>
  <c r="H103" i="2"/>
  <c r="J103" i="2" s="1"/>
  <c r="I103" i="2"/>
  <c r="J99" i="2"/>
  <c r="I99" i="2"/>
  <c r="H99" i="2"/>
  <c r="J95" i="2"/>
  <c r="H95" i="2"/>
  <c r="I95" i="2" s="1"/>
  <c r="J91" i="2"/>
  <c r="H91" i="2"/>
  <c r="I91" i="2" s="1"/>
  <c r="J87" i="2"/>
  <c r="H87" i="2"/>
  <c r="I87" i="2" s="1"/>
  <c r="I83" i="2"/>
  <c r="H83" i="2"/>
  <c r="J83" i="2" s="1"/>
  <c r="J79" i="2"/>
  <c r="H79" i="2"/>
  <c r="I79" i="2"/>
  <c r="I75" i="2"/>
  <c r="H75" i="2"/>
  <c r="J75" i="2" s="1"/>
  <c r="J71" i="2"/>
  <c r="H71" i="2"/>
  <c r="I71" i="2" s="1"/>
  <c r="I67" i="2"/>
  <c r="H67" i="2"/>
  <c r="J67" i="2" s="1"/>
  <c r="H63" i="2"/>
  <c r="J63" i="2" s="1"/>
  <c r="J59" i="2"/>
  <c r="H59" i="2"/>
  <c r="I59" i="2" s="1"/>
  <c r="H55" i="2"/>
  <c r="I55" i="2" s="1"/>
  <c r="H51" i="2"/>
  <c r="J51" i="2" s="1"/>
  <c r="H47" i="2"/>
  <c r="I47" i="2" s="1"/>
  <c r="H43" i="2"/>
  <c r="I43" i="2" s="1"/>
  <c r="J39" i="2"/>
  <c r="H39" i="2"/>
  <c r="I39" i="2" s="1"/>
  <c r="J35" i="2"/>
  <c r="I35" i="2"/>
  <c r="H35" i="2"/>
  <c r="H31" i="2"/>
  <c r="J31" i="2" s="1"/>
  <c r="J27" i="2"/>
  <c r="H27" i="2"/>
  <c r="I27" i="2" s="1"/>
  <c r="J23" i="2"/>
  <c r="H23" i="2"/>
  <c r="I23" i="2" s="1"/>
  <c r="J19" i="2"/>
  <c r="H19" i="2"/>
  <c r="I19" i="2" s="1"/>
  <c r="H15" i="2"/>
  <c r="J15" i="2" s="1"/>
  <c r="I15" i="2"/>
  <c r="J11" i="2"/>
  <c r="H11" i="2"/>
  <c r="I11" i="2" s="1"/>
  <c r="J7" i="2"/>
  <c r="H7" i="2"/>
  <c r="I7" i="2" s="1"/>
  <c r="H3" i="2"/>
  <c r="I3" i="2" s="1"/>
  <c r="I237" i="2"/>
  <c r="I221" i="2"/>
  <c r="I96" i="2"/>
  <c r="I64" i="2"/>
  <c r="J64" i="2"/>
  <c r="J237" i="2"/>
  <c r="J141" i="2"/>
  <c r="J247" i="2"/>
  <c r="H247" i="2"/>
  <c r="I247" i="2" s="1"/>
  <c r="J231" i="2"/>
  <c r="H231" i="2"/>
  <c r="I231" i="2"/>
  <c r="I250" i="2"/>
  <c r="I234" i="2"/>
  <c r="I218" i="2"/>
  <c r="I202" i="2"/>
  <c r="I154" i="2"/>
  <c r="I138" i="2"/>
  <c r="I249" i="2"/>
  <c r="I233" i="2"/>
  <c r="I217" i="2"/>
  <c r="I201" i="2"/>
  <c r="I88" i="2"/>
  <c r="I56" i="2"/>
  <c r="I24" i="2"/>
  <c r="J113" i="2"/>
  <c r="I118" i="2"/>
  <c r="J114" i="2"/>
  <c r="I114" i="2"/>
  <c r="J110" i="2"/>
  <c r="I110" i="2"/>
  <c r="J106" i="2"/>
  <c r="I106" i="2"/>
  <c r="J102" i="2"/>
  <c r="I102" i="2"/>
  <c r="J98" i="2"/>
  <c r="I98" i="2"/>
  <c r="J94" i="2"/>
  <c r="I94" i="2"/>
  <c r="J90" i="2"/>
  <c r="I90" i="2"/>
  <c r="J86" i="2"/>
  <c r="I86" i="2"/>
  <c r="J82" i="2"/>
  <c r="I82" i="2"/>
  <c r="J78" i="2"/>
  <c r="I78" i="2"/>
  <c r="J74" i="2"/>
  <c r="I74" i="2"/>
  <c r="J70" i="2"/>
  <c r="I70" i="2"/>
  <c r="J66" i="2"/>
  <c r="I66" i="2"/>
  <c r="J62" i="2"/>
  <c r="I62" i="2"/>
  <c r="I58" i="2"/>
  <c r="J54" i="2"/>
  <c r="I54" i="2"/>
  <c r="J50" i="2"/>
  <c r="I50" i="2"/>
  <c r="J46" i="2"/>
  <c r="I46" i="2"/>
  <c r="I42" i="2"/>
  <c r="J38" i="2"/>
  <c r="I38" i="2"/>
  <c r="J34" i="2"/>
  <c r="I34" i="2"/>
  <c r="J30" i="2"/>
  <c r="I30" i="2"/>
  <c r="I26" i="2"/>
  <c r="J22" i="2"/>
  <c r="I22" i="2"/>
  <c r="J18" i="2"/>
  <c r="I18" i="2"/>
  <c r="J14" i="2"/>
  <c r="I14" i="2"/>
  <c r="J10" i="2"/>
  <c r="I10" i="2"/>
  <c r="J6" i="2"/>
  <c r="I6" i="2"/>
  <c r="H249" i="2"/>
  <c r="J249" i="2" s="1"/>
  <c r="H245" i="2"/>
  <c r="J245" i="2" s="1"/>
  <c r="H241" i="2"/>
  <c r="J241" i="2" s="1"/>
  <c r="H237" i="2"/>
  <c r="H233" i="2"/>
  <c r="J233" i="2" s="1"/>
  <c r="H229" i="2"/>
  <c r="I229" i="2" s="1"/>
  <c r="H225" i="2"/>
  <c r="I225" i="2" s="1"/>
  <c r="H221" i="2"/>
  <c r="J221" i="2" s="1"/>
  <c r="H217" i="2"/>
  <c r="J217" i="2" s="1"/>
  <c r="H213" i="2"/>
  <c r="I213" i="2" s="1"/>
  <c r="H209" i="2"/>
  <c r="I209" i="2" s="1"/>
  <c r="H205" i="2"/>
  <c r="I205" i="2" s="1"/>
  <c r="H201" i="2"/>
  <c r="J201" i="2" s="1"/>
  <c r="H197" i="2"/>
  <c r="I197" i="2" s="1"/>
  <c r="H193" i="2"/>
  <c r="I193" i="2" s="1"/>
  <c r="H189" i="2"/>
  <c r="I189" i="2" s="1"/>
  <c r="H185" i="2"/>
  <c r="J185" i="2" s="1"/>
  <c r="H181" i="2"/>
  <c r="I181" i="2" s="1"/>
  <c r="H177" i="2"/>
  <c r="J177" i="2" s="1"/>
  <c r="H173" i="2"/>
  <c r="J173" i="2" s="1"/>
  <c r="H169" i="2"/>
  <c r="J169" i="2" s="1"/>
  <c r="H165" i="2"/>
  <c r="J165" i="2" s="1"/>
  <c r="H161" i="2"/>
  <c r="I161" i="2" s="1"/>
  <c r="H157" i="2"/>
  <c r="I157" i="2" s="1"/>
  <c r="H153" i="2"/>
  <c r="I153" i="2" s="1"/>
  <c r="H149" i="2"/>
  <c r="J149" i="2" s="1"/>
  <c r="H145" i="2"/>
  <c r="J145" i="2" s="1"/>
  <c r="H141" i="2"/>
  <c r="I141" i="2" s="1"/>
  <c r="H137" i="2"/>
  <c r="I137" i="2" s="1"/>
  <c r="H133" i="2"/>
  <c r="J133" i="2" s="1"/>
  <c r="H129" i="2"/>
  <c r="I129" i="2" s="1"/>
  <c r="H125" i="2"/>
  <c r="I125" i="2" s="1"/>
  <c r="H121" i="2"/>
  <c r="I121" i="2" s="1"/>
  <c r="H109" i="2"/>
  <c r="I109" i="2" s="1"/>
  <c r="H93" i="2"/>
  <c r="J93" i="2" s="1"/>
  <c r="H77" i="2"/>
  <c r="J77" i="2" s="1"/>
  <c r="H37" i="2"/>
  <c r="J37" i="2" s="1"/>
  <c r="J58" i="2"/>
  <c r="J12" i="2"/>
  <c r="I117" i="2"/>
  <c r="I113" i="2"/>
  <c r="I105" i="2"/>
  <c r="I101" i="2"/>
  <c r="I97" i="2"/>
  <c r="I93" i="2"/>
  <c r="I89" i="2"/>
  <c r="I85" i="2"/>
  <c r="I81" i="2"/>
  <c r="I77" i="2"/>
  <c r="I73" i="2"/>
  <c r="I69" i="2"/>
  <c r="J65" i="2"/>
  <c r="I65" i="2"/>
  <c r="J61" i="2"/>
  <c r="I61" i="2"/>
  <c r="I57" i="2"/>
  <c r="J57" i="2"/>
  <c r="I53" i="2"/>
  <c r="J49" i="2"/>
  <c r="I49" i="2"/>
  <c r="J45" i="2"/>
  <c r="I45" i="2"/>
  <c r="I41" i="2"/>
  <c r="J41" i="2"/>
  <c r="I37" i="2"/>
  <c r="J33" i="2"/>
  <c r="I33" i="2"/>
  <c r="J29" i="2"/>
  <c r="I29" i="2"/>
  <c r="I25" i="2"/>
  <c r="J25" i="2"/>
  <c r="J21" i="2"/>
  <c r="I21" i="2"/>
  <c r="I17" i="2"/>
  <c r="J17" i="2"/>
  <c r="J13" i="2"/>
  <c r="I13" i="2"/>
  <c r="I9" i="2"/>
  <c r="J9" i="2"/>
  <c r="J5" i="2"/>
  <c r="I5" i="2"/>
  <c r="H108" i="2"/>
  <c r="I108" i="2" s="1"/>
  <c r="H100" i="2"/>
  <c r="J100" i="2" s="1"/>
  <c r="H92" i="2"/>
  <c r="I92" i="2" s="1"/>
  <c r="H84" i="2"/>
  <c r="I84" i="2" s="1"/>
  <c r="H76" i="2"/>
  <c r="I76" i="2" s="1"/>
  <c r="H68" i="2"/>
  <c r="J68" i="2" s="1"/>
  <c r="H60" i="2"/>
  <c r="J60" i="2" s="1"/>
  <c r="H52" i="2"/>
  <c r="I52" i="2" s="1"/>
  <c r="H48" i="2"/>
  <c r="J48" i="2" s="1"/>
  <c r="H44" i="2"/>
  <c r="I44" i="2" s="1"/>
  <c r="H36" i="2"/>
  <c r="I36" i="2" s="1"/>
  <c r="H32" i="2"/>
  <c r="J32" i="2" s="1"/>
  <c r="H28" i="2"/>
  <c r="J28" i="2" s="1"/>
  <c r="H20" i="2"/>
  <c r="J20" i="2" s="1"/>
  <c r="H12" i="2"/>
  <c r="I12" i="2" s="1"/>
  <c r="H4" i="2"/>
  <c r="I4" i="2" s="1"/>
  <c r="J246" i="2"/>
  <c r="J238" i="2"/>
  <c r="J230" i="2"/>
  <c r="J222" i="2"/>
  <c r="J214" i="2"/>
  <c r="J206" i="2"/>
  <c r="J198" i="2"/>
  <c r="J190" i="2"/>
  <c r="J182" i="2"/>
  <c r="J174" i="2"/>
  <c r="J166" i="2"/>
  <c r="J150" i="2"/>
  <c r="J134" i="2"/>
  <c r="J126" i="2"/>
  <c r="J118" i="2"/>
  <c r="J105" i="2"/>
  <c r="J89" i="2"/>
  <c r="J73" i="2"/>
  <c r="J53" i="2"/>
  <c r="J108" i="2"/>
  <c r="J104" i="2"/>
  <c r="J96" i="2"/>
  <c r="J92" i="2"/>
  <c r="J88" i="2"/>
  <c r="J80" i="2"/>
  <c r="J76" i="2"/>
  <c r="J72" i="2"/>
  <c r="J56" i="2"/>
  <c r="J44" i="2"/>
  <c r="J40" i="2"/>
  <c r="J36" i="2"/>
  <c r="J24" i="2"/>
  <c r="J16" i="2"/>
  <c r="J8" i="2"/>
  <c r="J117" i="2"/>
  <c r="J101" i="2"/>
  <c r="J85" i="2"/>
  <c r="J69" i="2"/>
  <c r="J26" i="2"/>
  <c r="J84" i="2" l="1"/>
  <c r="L91" i="2" s="1"/>
  <c r="I60" i="2"/>
  <c r="K65" i="2" s="1"/>
  <c r="J43" i="2"/>
  <c r="I51" i="2"/>
  <c r="K57" i="2" s="1"/>
  <c r="J151" i="2"/>
  <c r="J195" i="2"/>
  <c r="J211" i="2"/>
  <c r="J196" i="2"/>
  <c r="J157" i="2"/>
  <c r="I185" i="2"/>
  <c r="K191" i="2" s="1"/>
  <c r="J52" i="2"/>
  <c r="J3" i="2"/>
  <c r="J47" i="2"/>
  <c r="L48" i="2" s="1"/>
  <c r="J55" i="2"/>
  <c r="L65" i="2" s="1"/>
  <c r="I48" i="2"/>
  <c r="J109" i="2"/>
  <c r="L112" i="2" s="1"/>
  <c r="I169" i="2"/>
  <c r="I32" i="2"/>
  <c r="I173" i="2"/>
  <c r="I31" i="2"/>
  <c r="J163" i="2"/>
  <c r="L170" i="2" s="1"/>
  <c r="J171" i="2"/>
  <c r="L178" i="2" s="1"/>
  <c r="J116" i="2"/>
  <c r="J124" i="2"/>
  <c r="L132" i="2" s="1"/>
  <c r="I140" i="2"/>
  <c r="J192" i="2"/>
  <c r="L198" i="2" s="1"/>
  <c r="J125" i="2"/>
  <c r="I165" i="2"/>
  <c r="K176" i="2" s="1"/>
  <c r="I159" i="2"/>
  <c r="K163" i="2" s="1"/>
  <c r="I20" i="2"/>
  <c r="K24" i="2" s="1"/>
  <c r="I128" i="2"/>
  <c r="I148" i="2"/>
  <c r="J209" i="2"/>
  <c r="L215" i="2" s="1"/>
  <c r="I149" i="2"/>
  <c r="J193" i="2"/>
  <c r="I63" i="2"/>
  <c r="I139" i="2"/>
  <c r="K142" i="2" s="1"/>
  <c r="I177" i="2"/>
  <c r="K185" i="2" s="1"/>
  <c r="I156" i="2"/>
  <c r="J153" i="2"/>
  <c r="L162" i="2" s="1"/>
  <c r="L151" i="2"/>
  <c r="L50" i="2"/>
  <c r="K84" i="2"/>
  <c r="K249" i="2"/>
  <c r="K25" i="2"/>
  <c r="K93" i="2"/>
  <c r="K138" i="2"/>
  <c r="K202" i="2"/>
  <c r="K72" i="2"/>
  <c r="K104" i="2"/>
  <c r="L81" i="2"/>
  <c r="L113" i="2"/>
  <c r="L190" i="2"/>
  <c r="K222" i="2"/>
  <c r="K238" i="2"/>
  <c r="L28" i="2"/>
  <c r="L88" i="2"/>
  <c r="K243" i="2"/>
  <c r="L89" i="2"/>
  <c r="K85" i="2"/>
  <c r="L124" i="2"/>
  <c r="L204" i="2"/>
  <c r="L202" i="2"/>
  <c r="K233" i="2"/>
  <c r="L61" i="2"/>
  <c r="L55" i="2"/>
  <c r="K122" i="2"/>
  <c r="L146" i="2"/>
  <c r="L142" i="2"/>
  <c r="L175" i="2"/>
  <c r="K53" i="2"/>
  <c r="K68" i="2"/>
  <c r="K132" i="2"/>
  <c r="L183" i="2"/>
  <c r="K208" i="2"/>
  <c r="K207" i="2"/>
  <c r="K228" i="2"/>
  <c r="K227" i="2"/>
  <c r="K251" i="2"/>
  <c r="K205" i="2"/>
  <c r="K217" i="2"/>
  <c r="L245" i="2"/>
  <c r="K192" i="2"/>
  <c r="K17" i="2"/>
  <c r="K134" i="2"/>
  <c r="L182" i="2"/>
  <c r="L230" i="2"/>
  <c r="L44" i="2"/>
  <c r="L76" i="2"/>
  <c r="L120" i="2"/>
  <c r="K196" i="2"/>
  <c r="K195" i="2"/>
  <c r="L240" i="2"/>
  <c r="L239" i="2"/>
  <c r="L238" i="2"/>
  <c r="K162" i="2"/>
  <c r="L73" i="2"/>
  <c r="L186" i="2"/>
  <c r="L234" i="2"/>
  <c r="L231" i="2"/>
  <c r="L188" i="2"/>
  <c r="K224" i="2"/>
  <c r="K223" i="2"/>
  <c r="K137" i="2"/>
  <c r="K135" i="2"/>
  <c r="L153" i="2"/>
  <c r="L150" i="2"/>
  <c r="K201" i="2"/>
  <c r="K199" i="2"/>
  <c r="L49" i="2"/>
  <c r="L105" i="2"/>
  <c r="L251" i="2"/>
  <c r="L26" i="2"/>
  <c r="L54" i="2"/>
  <c r="L78" i="2"/>
  <c r="K110" i="2"/>
  <c r="K210" i="2"/>
  <c r="L83" i="2"/>
  <c r="L107" i="2"/>
  <c r="K246" i="2"/>
  <c r="M246" i="2" s="1"/>
  <c r="N246" i="2" s="1"/>
  <c r="K154" i="2"/>
  <c r="L20" i="2"/>
  <c r="L36" i="2"/>
  <c r="L52" i="2"/>
  <c r="L68" i="2"/>
  <c r="K80" i="2"/>
  <c r="K96" i="2"/>
  <c r="K112" i="2"/>
  <c r="K156" i="2"/>
  <c r="K172" i="2"/>
  <c r="L228" i="2"/>
  <c r="L248" i="2"/>
  <c r="L17" i="2"/>
  <c r="K97" i="2"/>
  <c r="K181" i="2"/>
  <c r="K197" i="2"/>
  <c r="K213" i="2"/>
  <c r="L237" i="2"/>
  <c r="L158" i="2"/>
  <c r="L206" i="2"/>
  <c r="L246" i="2"/>
  <c r="L98" i="2"/>
  <c r="L29" i="2"/>
  <c r="L53" i="2"/>
  <c r="L109" i="2"/>
  <c r="L66" i="2"/>
  <c r="L195" i="2"/>
  <c r="L227" i="2"/>
  <c r="L33" i="2"/>
  <c r="L22" i="2"/>
  <c r="L30" i="2"/>
  <c r="L38" i="2"/>
  <c r="K46" i="2"/>
  <c r="K54" i="2"/>
  <c r="L62" i="2"/>
  <c r="K82" i="2"/>
  <c r="K98" i="2"/>
  <c r="K114" i="2"/>
  <c r="K130" i="2"/>
  <c r="L23" i="2"/>
  <c r="L31" i="2"/>
  <c r="K43" i="2"/>
  <c r="L59" i="2"/>
  <c r="L67" i="2"/>
  <c r="K79" i="2"/>
  <c r="K87" i="2"/>
  <c r="K95" i="2"/>
  <c r="K103" i="2"/>
  <c r="K111" i="2"/>
  <c r="K119" i="2"/>
  <c r="K127" i="2"/>
  <c r="K133" i="2"/>
  <c r="K198" i="2"/>
  <c r="K211" i="2"/>
  <c r="K244" i="2"/>
  <c r="L77" i="2"/>
  <c r="K77" i="2"/>
  <c r="K234" i="2"/>
  <c r="L15" i="2"/>
  <c r="L16" i="2"/>
  <c r="L32" i="2"/>
  <c r="L64" i="2"/>
  <c r="L80" i="2"/>
  <c r="L96" i="2"/>
  <c r="K136" i="2"/>
  <c r="L144" i="2"/>
  <c r="L176" i="2"/>
  <c r="L192" i="2"/>
  <c r="K200" i="2"/>
  <c r="L208" i="2"/>
  <c r="K216" i="2"/>
  <c r="L224" i="2"/>
  <c r="K232" i="2"/>
  <c r="K252" i="2"/>
  <c r="K105" i="2"/>
  <c r="M105" i="2" s="1"/>
  <c r="N105" i="2" s="1"/>
  <c r="L125" i="2"/>
  <c r="K177" i="2"/>
  <c r="L185" i="2"/>
  <c r="L201" i="2"/>
  <c r="K209" i="2"/>
  <c r="K225" i="2"/>
  <c r="L233" i="2"/>
  <c r="K241" i="2"/>
  <c r="L249" i="2"/>
  <c r="M249" i="2" s="1"/>
  <c r="N249" i="2" s="1"/>
  <c r="L90" i="2"/>
  <c r="L191" i="2"/>
  <c r="L82" i="2"/>
  <c r="L69" i="2"/>
  <c r="L121" i="2"/>
  <c r="L18" i="2"/>
  <c r="L42" i="2"/>
  <c r="K126" i="2"/>
  <c r="K194" i="2"/>
  <c r="K242" i="2"/>
  <c r="K67" i="2"/>
  <c r="L99" i="2"/>
  <c r="L123" i="2"/>
  <c r="L250" i="2"/>
  <c r="K218" i="2"/>
  <c r="K48" i="2"/>
  <c r="K64" i="2"/>
  <c r="M64" i="2" s="1"/>
  <c r="N64" i="2" s="1"/>
  <c r="K92" i="2"/>
  <c r="K108" i="2"/>
  <c r="K124" i="2"/>
  <c r="M124" i="2" s="1"/>
  <c r="N124" i="2" s="1"/>
  <c r="L180" i="2"/>
  <c r="K204" i="2"/>
  <c r="K220" i="2"/>
  <c r="K236" i="2"/>
  <c r="K206" i="2"/>
  <c r="L45" i="2"/>
  <c r="K125" i="2"/>
  <c r="L141" i="2"/>
  <c r="L189" i="2"/>
  <c r="L205" i="2"/>
  <c r="K229" i="2"/>
  <c r="L37" i="2"/>
  <c r="L57" i="2"/>
  <c r="L97" i="2"/>
  <c r="L139" i="2"/>
  <c r="L203" i="2"/>
  <c r="L235" i="2"/>
  <c r="K30" i="2"/>
  <c r="K38" i="2"/>
  <c r="M38" i="2" s="1"/>
  <c r="N38" i="2" s="1"/>
  <c r="L46" i="2"/>
  <c r="K66" i="2"/>
  <c r="L74" i="2"/>
  <c r="K86" i="2"/>
  <c r="K102" i="2"/>
  <c r="K118" i="2"/>
  <c r="K19" i="2"/>
  <c r="K27" i="2"/>
  <c r="L43" i="2"/>
  <c r="L51" i="2"/>
  <c r="L79" i="2"/>
  <c r="L87" i="2"/>
  <c r="L103" i="2"/>
  <c r="L111" i="2"/>
  <c r="L119" i="2"/>
  <c r="K214" i="2"/>
  <c r="K215" i="2"/>
  <c r="K231" i="2"/>
  <c r="M231" i="2" s="1"/>
  <c r="N231" i="2" s="1"/>
  <c r="K247" i="2"/>
  <c r="L106" i="2"/>
  <c r="K109" i="2"/>
  <c r="M109" i="2" s="1"/>
  <c r="N109" i="2" s="1"/>
  <c r="K186" i="2"/>
  <c r="K250" i="2"/>
  <c r="K52" i="2"/>
  <c r="M52" i="2" s="1"/>
  <c r="N52" i="2" s="1"/>
  <c r="L60" i="2"/>
  <c r="K88" i="2"/>
  <c r="K100" i="2"/>
  <c r="L108" i="2"/>
  <c r="K116" i="2"/>
  <c r="K120" i="2"/>
  <c r="L140" i="2"/>
  <c r="K212" i="2"/>
  <c r="L236" i="2"/>
  <c r="K248" i="2"/>
  <c r="L122" i="2"/>
  <c r="L226" i="2"/>
  <c r="L207" i="2"/>
  <c r="K81" i="2"/>
  <c r="K113" i="2"/>
  <c r="L133" i="2"/>
  <c r="L149" i="2"/>
  <c r="L181" i="2"/>
  <c r="K189" i="2"/>
  <c r="L197" i="2"/>
  <c r="K221" i="2"/>
  <c r="L229" i="2"/>
  <c r="K237" i="2"/>
  <c r="L143" i="2"/>
  <c r="L223" i="2"/>
  <c r="K117" i="2"/>
  <c r="L94" i="2"/>
  <c r="L21" i="2"/>
  <c r="L187" i="2"/>
  <c r="L34" i="2"/>
  <c r="K62" i="2"/>
  <c r="K94" i="2"/>
  <c r="L71" i="2"/>
  <c r="K226" i="2"/>
  <c r="K23" i="2"/>
  <c r="L75" i="2"/>
  <c r="L115" i="2"/>
  <c r="K101" i="2"/>
  <c r="K239" i="2"/>
  <c r="M239" i="2" s="1"/>
  <c r="N239" i="2" s="1"/>
  <c r="L154" i="2"/>
  <c r="K45" i="2"/>
  <c r="M45" i="2" s="1"/>
  <c r="N45" i="2" s="1"/>
  <c r="K16" i="2"/>
  <c r="K15" i="2"/>
  <c r="K28" i="2"/>
  <c r="K44" i="2"/>
  <c r="K60" i="2"/>
  <c r="L100" i="2"/>
  <c r="L116" i="2"/>
  <c r="K128" i="2"/>
  <c r="L148" i="2"/>
  <c r="L164" i="2"/>
  <c r="L196" i="2"/>
  <c r="K245" i="2"/>
  <c r="L39" i="2"/>
  <c r="L130" i="2"/>
  <c r="L41" i="2"/>
  <c r="L85" i="2"/>
  <c r="L101" i="2"/>
  <c r="L117" i="2"/>
  <c r="L102" i="2"/>
  <c r="L147" i="2"/>
  <c r="L179" i="2"/>
  <c r="L211" i="2"/>
  <c r="L243" i="2"/>
  <c r="K18" i="2"/>
  <c r="K26" i="2"/>
  <c r="K34" i="2"/>
  <c r="K50" i="2"/>
  <c r="M50" i="2" s="1"/>
  <c r="N50" i="2" s="1"/>
  <c r="L58" i="2"/>
  <c r="L70" i="2"/>
  <c r="K78" i="2"/>
  <c r="M78" i="2" s="1"/>
  <c r="N78" i="2" s="1"/>
  <c r="K90" i="2"/>
  <c r="K106" i="2"/>
  <c r="M106" i="2" s="1"/>
  <c r="N106" i="2" s="1"/>
  <c r="L25" i="2"/>
  <c r="M25" i="2" s="1"/>
  <c r="N25" i="2" s="1"/>
  <c r="L19" i="2"/>
  <c r="L27" i="2"/>
  <c r="L35" i="2"/>
  <c r="K47" i="2"/>
  <c r="L63" i="2"/>
  <c r="K75" i="2"/>
  <c r="K83" i="2"/>
  <c r="K91" i="2"/>
  <c r="K99" i="2"/>
  <c r="K107" i="2"/>
  <c r="K115" i="2"/>
  <c r="K123" i="2"/>
  <c r="K131" i="2"/>
  <c r="K69" i="2"/>
  <c r="M69" i="2" s="1"/>
  <c r="N69" i="2" s="1"/>
  <c r="K230" i="2"/>
  <c r="M230" i="2" s="1"/>
  <c r="N230" i="2" s="1"/>
  <c r="K187" i="2"/>
  <c r="M187" i="2" s="1"/>
  <c r="N187" i="2" s="1"/>
  <c r="K203" i="2"/>
  <c r="K219" i="2"/>
  <c r="K235" i="2"/>
  <c r="L244" i="2"/>
  <c r="K29" i="2"/>
  <c r="L24" i="2"/>
  <c r="L40" i="2"/>
  <c r="L56" i="2"/>
  <c r="L72" i="2"/>
  <c r="M72" i="2" s="1"/>
  <c r="N72" i="2" s="1"/>
  <c r="L104" i="2"/>
  <c r="M104" i="2" s="1"/>
  <c r="N104" i="2" s="1"/>
  <c r="L152" i="2"/>
  <c r="L168" i="2"/>
  <c r="L184" i="2"/>
  <c r="L216" i="2"/>
  <c r="L232" i="2"/>
  <c r="K240" i="2"/>
  <c r="M240" i="2" s="1"/>
  <c r="N240" i="2" s="1"/>
  <c r="L252" i="2"/>
  <c r="L247" i="2"/>
  <c r="L138" i="2"/>
  <c r="M138" i="2" s="1"/>
  <c r="N138" i="2" s="1"/>
  <c r="L242" i="2"/>
  <c r="K41" i="2"/>
  <c r="K89" i="2"/>
  <c r="M89" i="2" s="1"/>
  <c r="N89" i="2" s="1"/>
  <c r="K121" i="2"/>
  <c r="M121" i="2" s="1"/>
  <c r="N121" i="2" s="1"/>
  <c r="K129" i="2"/>
  <c r="L145" i="2"/>
  <c r="K153" i="2"/>
  <c r="L177" i="2"/>
  <c r="L225" i="2"/>
  <c r="L241" i="2"/>
  <c r="K61" i="2"/>
  <c r="L159" i="2"/>
  <c r="K21" i="2"/>
  <c r="L199" i="2"/>
  <c r="M57" i="2" l="1"/>
  <c r="N57" i="2" s="1"/>
  <c r="M41" i="2"/>
  <c r="N41" i="2" s="1"/>
  <c r="M90" i="2"/>
  <c r="N90" i="2" s="1"/>
  <c r="M28" i="2"/>
  <c r="N28" i="2" s="1"/>
  <c r="K151" i="2"/>
  <c r="M30" i="2"/>
  <c r="N30" i="2" s="1"/>
  <c r="M206" i="2"/>
  <c r="N206" i="2" s="1"/>
  <c r="M67" i="2"/>
  <c r="N67" i="2" s="1"/>
  <c r="K147" i="2"/>
  <c r="K179" i="2"/>
  <c r="M202" i="2"/>
  <c r="N202" i="2" s="1"/>
  <c r="K63" i="2"/>
  <c r="M63" i="2" s="1"/>
  <c r="N63" i="2" s="1"/>
  <c r="K159" i="2"/>
  <c r="K40" i="2"/>
  <c r="M40" i="2" s="1"/>
  <c r="N40" i="2" s="1"/>
  <c r="L110" i="2"/>
  <c r="L194" i="2"/>
  <c r="L193" i="2"/>
  <c r="K190" i="2"/>
  <c r="M190" i="2" s="1"/>
  <c r="N190" i="2" s="1"/>
  <c r="L200" i="2"/>
  <c r="L136" i="2"/>
  <c r="M136" i="2" s="1"/>
  <c r="N136" i="2" s="1"/>
  <c r="M235" i="2"/>
  <c r="N235" i="2" s="1"/>
  <c r="K139" i="2"/>
  <c r="M139" i="2" s="1"/>
  <c r="N139" i="2" s="1"/>
  <c r="M123" i="2"/>
  <c r="N123" i="2" s="1"/>
  <c r="M91" i="2"/>
  <c r="N91" i="2" s="1"/>
  <c r="K55" i="2"/>
  <c r="M55" i="2" s="1"/>
  <c r="N55" i="2" s="1"/>
  <c r="K42" i="2"/>
  <c r="M42" i="2" s="1"/>
  <c r="N42" i="2" s="1"/>
  <c r="M243" i="2"/>
  <c r="N243" i="2" s="1"/>
  <c r="L135" i="2"/>
  <c r="K76" i="2"/>
  <c r="M76" i="2" s="1"/>
  <c r="N76" i="2" s="1"/>
  <c r="N15" i="2"/>
  <c r="L47" i="2"/>
  <c r="M94" i="2"/>
  <c r="N94" i="2" s="1"/>
  <c r="L118" i="2"/>
  <c r="M118" i="2" s="1"/>
  <c r="N118" i="2" s="1"/>
  <c r="K157" i="2"/>
  <c r="L92" i="2"/>
  <c r="L95" i="2"/>
  <c r="M95" i="2" s="1"/>
  <c r="N95" i="2" s="1"/>
  <c r="K58" i="2"/>
  <c r="K22" i="2"/>
  <c r="M22" i="2" s="1"/>
  <c r="N22" i="2" s="1"/>
  <c r="L86" i="2"/>
  <c r="L114" i="2"/>
  <c r="K140" i="2"/>
  <c r="M140" i="2" s="1"/>
  <c r="N140" i="2" s="1"/>
  <c r="L84" i="2"/>
  <c r="M84" i="2" s="1"/>
  <c r="N84" i="2" s="1"/>
  <c r="K193" i="2"/>
  <c r="K184" i="2"/>
  <c r="K51" i="2"/>
  <c r="K74" i="2"/>
  <c r="M74" i="2" s="1"/>
  <c r="N74" i="2" s="1"/>
  <c r="L93" i="2"/>
  <c r="K188" i="2"/>
  <c r="K20" i="2"/>
  <c r="M20" i="2" s="1"/>
  <c r="N20" i="2" s="1"/>
  <c r="K170" i="2"/>
  <c r="M170" i="2" s="1"/>
  <c r="N170" i="2" s="1"/>
  <c r="K160" i="2"/>
  <c r="K143" i="2"/>
  <c r="M143" i="2" s="1"/>
  <c r="N143" i="2" s="1"/>
  <c r="K183" i="2"/>
  <c r="L166" i="2"/>
  <c r="K56" i="2"/>
  <c r="M86" i="2"/>
  <c r="N86" i="2" s="1"/>
  <c r="M142" i="2"/>
  <c r="N142" i="2" s="1"/>
  <c r="K180" i="2"/>
  <c r="M162" i="2"/>
  <c r="N162" i="2" s="1"/>
  <c r="K169" i="2"/>
  <c r="M169" i="2" s="1"/>
  <c r="N169" i="2" s="1"/>
  <c r="K171" i="2"/>
  <c r="L221" i="2"/>
  <c r="M81" i="2"/>
  <c r="N81" i="2" s="1"/>
  <c r="L171" i="2"/>
  <c r="L219" i="2"/>
  <c r="K161" i="2"/>
  <c r="M161" i="2" s="1"/>
  <c r="N161" i="2" s="1"/>
  <c r="K168" i="2"/>
  <c r="K165" i="2"/>
  <c r="M165" i="2" s="1"/>
  <c r="N165" i="2" s="1"/>
  <c r="K146" i="2"/>
  <c r="K164" i="2"/>
  <c r="K178" i="2"/>
  <c r="M178" i="2" s="1"/>
  <c r="N178" i="2" s="1"/>
  <c r="K144" i="2"/>
  <c r="M144" i="2" s="1"/>
  <c r="N144" i="2" s="1"/>
  <c r="L174" i="2"/>
  <c r="L210" i="2"/>
  <c r="M210" i="2" s="1"/>
  <c r="N210" i="2" s="1"/>
  <c r="L214" i="2"/>
  <c r="M214" i="2" s="1"/>
  <c r="N214" i="2" s="1"/>
  <c r="K150" i="2"/>
  <c r="M150" i="2" s="1"/>
  <c r="N150" i="2" s="1"/>
  <c r="L209" i="2"/>
  <c r="L161" i="2"/>
  <c r="M219" i="2"/>
  <c r="N219" i="2" s="1"/>
  <c r="K155" i="2"/>
  <c r="M85" i="2"/>
  <c r="N85" i="2" s="1"/>
  <c r="L173" i="2"/>
  <c r="M128" i="2"/>
  <c r="N128" i="2" s="1"/>
  <c r="M16" i="2"/>
  <c r="M23" i="2"/>
  <c r="N23" i="2" s="1"/>
  <c r="M62" i="2"/>
  <c r="N62" i="2" s="1"/>
  <c r="L213" i="2"/>
  <c r="M213" i="2" s="1"/>
  <c r="N213" i="2" s="1"/>
  <c r="K173" i="2"/>
  <c r="M173" i="2" s="1"/>
  <c r="N173" i="2" s="1"/>
  <c r="K141" i="2"/>
  <c r="K33" i="2"/>
  <c r="M33" i="2" s="1"/>
  <c r="N33" i="2" s="1"/>
  <c r="M120" i="2"/>
  <c r="N120" i="2" s="1"/>
  <c r="K36" i="2"/>
  <c r="M36" i="2" s="1"/>
  <c r="N36" i="2" s="1"/>
  <c r="L222" i="2"/>
  <c r="M222" i="2" s="1"/>
  <c r="N222" i="2" s="1"/>
  <c r="M215" i="2"/>
  <c r="N215" i="2" s="1"/>
  <c r="K37" i="2"/>
  <c r="M37" i="2" s="1"/>
  <c r="N37" i="2" s="1"/>
  <c r="K71" i="2"/>
  <c r="M71" i="2" s="1"/>
  <c r="N71" i="2" s="1"/>
  <c r="K35" i="2"/>
  <c r="M204" i="2"/>
  <c r="N204" i="2" s="1"/>
  <c r="K182" i="2"/>
  <c r="M182" i="2" s="1"/>
  <c r="N182" i="2" s="1"/>
  <c r="K39" i="2"/>
  <c r="M39" i="2" s="1"/>
  <c r="N39" i="2" s="1"/>
  <c r="K70" i="2"/>
  <c r="K145" i="2"/>
  <c r="M145" i="2" s="1"/>
  <c r="N145" i="2" s="1"/>
  <c r="K73" i="2"/>
  <c r="M73" i="2" s="1"/>
  <c r="N73" i="2" s="1"/>
  <c r="L160" i="2"/>
  <c r="M160" i="2" s="1"/>
  <c r="N160" i="2" s="1"/>
  <c r="L128" i="2"/>
  <c r="L126" i="2"/>
  <c r="M126" i="2" s="1"/>
  <c r="N126" i="2" s="1"/>
  <c r="L163" i="2"/>
  <c r="M163" i="2" s="1"/>
  <c r="N163" i="2" s="1"/>
  <c r="M93" i="2"/>
  <c r="N93" i="2" s="1"/>
  <c r="K149" i="2"/>
  <c r="L212" i="2"/>
  <c r="M212" i="2" s="1"/>
  <c r="N212" i="2" s="1"/>
  <c r="K59" i="2"/>
  <c r="L155" i="2"/>
  <c r="K175" i="2"/>
  <c r="K148" i="2"/>
  <c r="K49" i="2"/>
  <c r="M49" i="2" s="1"/>
  <c r="N49" i="2" s="1"/>
  <c r="L167" i="2"/>
  <c r="L172" i="2"/>
  <c r="K166" i="2"/>
  <c r="L134" i="2"/>
  <c r="M134" i="2" s="1"/>
  <c r="N134" i="2" s="1"/>
  <c r="K174" i="2"/>
  <c r="L218" i="2"/>
  <c r="M218" i="2" s="1"/>
  <c r="N218" i="2" s="1"/>
  <c r="M237" i="2"/>
  <c r="N237" i="2" s="1"/>
  <c r="L165" i="2"/>
  <c r="M88" i="2"/>
  <c r="N88" i="2" s="1"/>
  <c r="M250" i="2"/>
  <c r="N250" i="2" s="1"/>
  <c r="K167" i="2"/>
  <c r="L127" i="2"/>
  <c r="L157" i="2"/>
  <c r="M157" i="2" s="1"/>
  <c r="N157" i="2" s="1"/>
  <c r="K32" i="2"/>
  <c r="L217" i="2"/>
  <c r="L137" i="2"/>
  <c r="M137" i="2" s="1"/>
  <c r="N137" i="2" s="1"/>
  <c r="K158" i="2"/>
  <c r="M158" i="2" s="1"/>
  <c r="N158" i="2" s="1"/>
  <c r="K152" i="2"/>
  <c r="L131" i="2"/>
  <c r="M131" i="2" s="1"/>
  <c r="N131" i="2" s="1"/>
  <c r="L129" i="2"/>
  <c r="M129" i="2" s="1"/>
  <c r="N129" i="2" s="1"/>
  <c r="M188" i="2"/>
  <c r="N188" i="2" s="1"/>
  <c r="K31" i="2"/>
  <c r="L169" i="2"/>
  <c r="L220" i="2"/>
  <c r="M220" i="2" s="1"/>
  <c r="N220" i="2" s="1"/>
  <c r="L156" i="2"/>
  <c r="M156" i="2" s="1"/>
  <c r="N156" i="2" s="1"/>
  <c r="M132" i="2"/>
  <c r="N132" i="2" s="1"/>
  <c r="M192" i="2"/>
  <c r="N192" i="2" s="1"/>
  <c r="M21" i="2"/>
  <c r="N21" i="2" s="1"/>
  <c r="M115" i="2"/>
  <c r="N115" i="2" s="1"/>
  <c r="M83" i="2"/>
  <c r="N83" i="2" s="1"/>
  <c r="M47" i="2"/>
  <c r="N47" i="2" s="1"/>
  <c r="M34" i="2"/>
  <c r="N34" i="2" s="1"/>
  <c r="M245" i="2"/>
  <c r="N245" i="2" s="1"/>
  <c r="M189" i="2"/>
  <c r="N189" i="2" s="1"/>
  <c r="M113" i="2"/>
  <c r="N113" i="2" s="1"/>
  <c r="M186" i="2"/>
  <c r="N186" i="2" s="1"/>
  <c r="M151" i="2"/>
  <c r="N151" i="2" s="1"/>
  <c r="M19" i="2"/>
  <c r="N19" i="2" s="1"/>
  <c r="M236" i="2"/>
  <c r="N236" i="2" s="1"/>
  <c r="M194" i="2"/>
  <c r="N194" i="2" s="1"/>
  <c r="M209" i="2"/>
  <c r="N209" i="2" s="1"/>
  <c r="M252" i="2"/>
  <c r="N252" i="2" s="1"/>
  <c r="M77" i="2"/>
  <c r="N77" i="2" s="1"/>
  <c r="M198" i="2"/>
  <c r="N198" i="2" s="1"/>
  <c r="M130" i="2"/>
  <c r="N130" i="2" s="1"/>
  <c r="M181" i="2"/>
  <c r="N181" i="2" s="1"/>
  <c r="M172" i="2"/>
  <c r="N172" i="2" s="1"/>
  <c r="M80" i="2"/>
  <c r="N80" i="2" s="1"/>
  <c r="M224" i="2"/>
  <c r="N224" i="2" s="1"/>
  <c r="M147" i="2"/>
  <c r="N147" i="2" s="1"/>
  <c r="M238" i="2"/>
  <c r="N238" i="2" s="1"/>
  <c r="M195" i="2"/>
  <c r="N195" i="2" s="1"/>
  <c r="M185" i="2"/>
  <c r="N185" i="2" s="1"/>
  <c r="M48" i="2"/>
  <c r="N48" i="2" s="1"/>
  <c r="M98" i="2"/>
  <c r="N98" i="2" s="1"/>
  <c r="M54" i="2"/>
  <c r="N54" i="2" s="1"/>
  <c r="M217" i="2"/>
  <c r="N217" i="2" s="1"/>
  <c r="M228" i="2"/>
  <c r="N228" i="2" s="1"/>
  <c r="M179" i="2"/>
  <c r="N179" i="2" s="1"/>
  <c r="M68" i="2"/>
  <c r="N68" i="2" s="1"/>
  <c r="M117" i="2"/>
  <c r="N117" i="2" s="1"/>
  <c r="M247" i="2"/>
  <c r="N247" i="2" s="1"/>
  <c r="M229" i="2"/>
  <c r="N229" i="2" s="1"/>
  <c r="M119" i="2"/>
  <c r="N119" i="2" s="1"/>
  <c r="M51" i="2"/>
  <c r="N51" i="2" s="1"/>
  <c r="M97" i="2"/>
  <c r="N97" i="2" s="1"/>
  <c r="M107" i="2"/>
  <c r="N107" i="2" s="1"/>
  <c r="M75" i="2"/>
  <c r="N75" i="2" s="1"/>
  <c r="M26" i="2"/>
  <c r="N26" i="2" s="1"/>
  <c r="M221" i="2"/>
  <c r="N221" i="2" s="1"/>
  <c r="M100" i="2"/>
  <c r="N100" i="2" s="1"/>
  <c r="M66" i="2"/>
  <c r="N66" i="2" s="1"/>
  <c r="M125" i="2"/>
  <c r="N125" i="2" s="1"/>
  <c r="M232" i="2"/>
  <c r="N232" i="2" s="1"/>
  <c r="M200" i="2"/>
  <c r="N200" i="2" s="1"/>
  <c r="M168" i="2"/>
  <c r="N168" i="2" s="1"/>
  <c r="M133" i="2"/>
  <c r="N133" i="2" s="1"/>
  <c r="M111" i="2"/>
  <c r="N111" i="2" s="1"/>
  <c r="M79" i="2"/>
  <c r="N79" i="2" s="1"/>
  <c r="M43" i="2"/>
  <c r="N43" i="2" s="1"/>
  <c r="M114" i="2"/>
  <c r="N114" i="2" s="1"/>
  <c r="M65" i="2"/>
  <c r="N65" i="2" s="1"/>
  <c r="M154" i="2"/>
  <c r="N154" i="2" s="1"/>
  <c r="M110" i="2"/>
  <c r="N110" i="2" s="1"/>
  <c r="M199" i="2"/>
  <c r="N199" i="2" s="1"/>
  <c r="M135" i="2"/>
  <c r="N135" i="2" s="1"/>
  <c r="M146" i="2"/>
  <c r="N146" i="2" s="1"/>
  <c r="M196" i="2"/>
  <c r="N196" i="2" s="1"/>
  <c r="M205" i="2"/>
  <c r="N205" i="2" s="1"/>
  <c r="M207" i="2"/>
  <c r="N207" i="2" s="1"/>
  <c r="M53" i="2"/>
  <c r="N53" i="2" s="1"/>
  <c r="M122" i="2"/>
  <c r="N122" i="2" s="1"/>
  <c r="M241" i="2"/>
  <c r="N241" i="2" s="1"/>
  <c r="M99" i="2"/>
  <c r="N99" i="2" s="1"/>
  <c r="M18" i="2"/>
  <c r="N18" i="2" s="1"/>
  <c r="M60" i="2"/>
  <c r="N60" i="2" s="1"/>
  <c r="M101" i="2"/>
  <c r="N101" i="2" s="1"/>
  <c r="M141" i="2"/>
  <c r="N141" i="2" s="1"/>
  <c r="M248" i="2"/>
  <c r="N248" i="2" s="1"/>
  <c r="M35" i="2"/>
  <c r="N35" i="2" s="1"/>
  <c r="M102" i="2"/>
  <c r="N102" i="2" s="1"/>
  <c r="M58" i="2"/>
  <c r="N58" i="2" s="1"/>
  <c r="M108" i="2"/>
  <c r="N108" i="2" s="1"/>
  <c r="M70" i="2"/>
  <c r="N70" i="2" s="1"/>
  <c r="M225" i="2"/>
  <c r="N225" i="2" s="1"/>
  <c r="M193" i="2"/>
  <c r="N193" i="2" s="1"/>
  <c r="M244" i="2"/>
  <c r="N244" i="2" s="1"/>
  <c r="M103" i="2"/>
  <c r="N103" i="2" s="1"/>
  <c r="M149" i="2"/>
  <c r="N149" i="2" s="1"/>
  <c r="M112" i="2"/>
  <c r="N112" i="2" s="1"/>
  <c r="M59" i="2"/>
  <c r="N59" i="2" s="1"/>
  <c r="M201" i="2"/>
  <c r="N201" i="2" s="1"/>
  <c r="M175" i="2"/>
  <c r="N175" i="2" s="1"/>
  <c r="M148" i="2"/>
  <c r="N148" i="2" s="1"/>
  <c r="M17" i="2"/>
  <c r="N17" i="2" s="1"/>
  <c r="M251" i="2"/>
  <c r="N251" i="2" s="1"/>
  <c r="M208" i="2"/>
  <c r="N208" i="2" s="1"/>
  <c r="M180" i="2"/>
  <c r="N180" i="2" s="1"/>
  <c r="M56" i="2"/>
  <c r="N56" i="2" s="1"/>
  <c r="M233" i="2"/>
  <c r="N233" i="2" s="1"/>
  <c r="M177" i="2"/>
  <c r="N177" i="2" s="1"/>
  <c r="M87" i="2"/>
  <c r="N87" i="2" s="1"/>
  <c r="M61" i="2"/>
  <c r="N61" i="2" s="1"/>
  <c r="M153" i="2"/>
  <c r="N153" i="2" s="1"/>
  <c r="M29" i="2"/>
  <c r="N29" i="2" s="1"/>
  <c r="M203" i="2"/>
  <c r="N203" i="2" s="1"/>
  <c r="M44" i="2"/>
  <c r="N44" i="2" s="1"/>
  <c r="M226" i="2"/>
  <c r="N226" i="2" s="1"/>
  <c r="M116" i="2"/>
  <c r="N116" i="2" s="1"/>
  <c r="M27" i="2"/>
  <c r="N27" i="2" s="1"/>
  <c r="M92" i="2"/>
  <c r="N92" i="2" s="1"/>
  <c r="M32" i="2"/>
  <c r="N32" i="2" s="1"/>
  <c r="M242" i="2"/>
  <c r="N242" i="2" s="1"/>
  <c r="M216" i="2"/>
  <c r="N216" i="2" s="1"/>
  <c r="M184" i="2"/>
  <c r="N184" i="2" s="1"/>
  <c r="M152" i="2"/>
  <c r="N152" i="2" s="1"/>
  <c r="M234" i="2"/>
  <c r="N234" i="2" s="1"/>
  <c r="M211" i="2"/>
  <c r="N211" i="2" s="1"/>
  <c r="M127" i="2"/>
  <c r="N127" i="2" s="1"/>
  <c r="M82" i="2"/>
  <c r="N82" i="2" s="1"/>
  <c r="M46" i="2"/>
  <c r="N46" i="2" s="1"/>
  <c r="M197" i="2"/>
  <c r="N197" i="2" s="1"/>
  <c r="M96" i="2"/>
  <c r="N96" i="2" s="1"/>
  <c r="M31" i="2"/>
  <c r="N31" i="2" s="1"/>
  <c r="M223" i="2"/>
  <c r="N223" i="2" s="1"/>
  <c r="M176" i="2"/>
  <c r="N176" i="2" s="1"/>
  <c r="M164" i="2"/>
  <c r="N164" i="2" s="1"/>
  <c r="M159" i="2"/>
  <c r="N159" i="2" s="1"/>
  <c r="M191" i="2"/>
  <c r="N191" i="2" s="1"/>
  <c r="M227" i="2"/>
  <c r="N227" i="2" s="1"/>
  <c r="M24" i="2"/>
  <c r="N24" i="2" s="1"/>
  <c r="M183" i="2"/>
  <c r="N183" i="2" s="1"/>
  <c r="M167" i="2" l="1"/>
  <c r="N167" i="2" s="1"/>
  <c r="M166" i="2"/>
  <c r="N166" i="2" s="1"/>
  <c r="M174" i="2"/>
  <c r="N174" i="2" s="1"/>
  <c r="M171" i="2"/>
  <c r="N171" i="2" s="1"/>
  <c r="M155" i="2"/>
  <c r="N155" i="2" s="1"/>
</calcChain>
</file>

<file path=xl/connections.xml><?xml version="1.0" encoding="utf-8"?>
<connections xmlns="http://schemas.openxmlformats.org/spreadsheetml/2006/main">
  <connection id="1" name="Connection" type="4" refreshedVersion="5" deleted="1" background="1" saveData="1">
    <webPr xl2000="1" htmlTables="1" htmlFormat="all"/>
  </connection>
  <connection id="2" name="Connection1" type="4" refreshedVersion="5" deleted="1" background="1" saveData="1">
    <webPr xl2000="1" htmlTables="1" htmlFormat="all"/>
  </connection>
  <connection id="3" name="Connection10" type="4" refreshedVersion="5" deleted="1" background="1" saveData="1">
    <webPr xl2000="1" htmlTables="1" htmlFormat="all"/>
  </connection>
  <connection id="4" name="Connection10111" type="4" refreshedVersion="5" deleted="1" background="1" saveData="1">
    <webPr xl2000="1" htmlTables="1" htmlFormat="all"/>
  </connection>
  <connection id="5" name="Connection1012" type="4" refreshedVersion="4" deleted="1" background="1" saveData="1">
    <webPr xl2000="1" htmlTables="1" htmlFormat="all"/>
  </connection>
  <connection id="6" name="Connection11" type="4" refreshedVersion="5" deleted="1" background="1" saveData="1">
    <webPr xl2000="1" htmlTables="1" htmlFormat="all"/>
  </connection>
  <connection id="7" name="Connection11011" type="4" refreshedVersion="5" deleted="1" background="1" saveData="1">
    <webPr xl2000="1" htmlTables="1" htmlFormat="all"/>
  </connection>
  <connection id="8" name="Connection1102" type="4" refreshedVersion="4" deleted="1" background="1" saveData="1">
    <webPr xl2000="1" htmlTables="1" htmlFormat="all"/>
  </connection>
  <connection id="9" name="Connection11111" type="4" refreshedVersion="5" deleted="1" background="1" saveData="1">
    <webPr xl2000="1" htmlTables="1" htmlFormat="all"/>
  </connection>
  <connection id="10" name="Connection1112" type="4" refreshedVersion="4" deleted="1" background="1" saveData="1">
    <webPr xl2000="1" htmlTables="1" htmlFormat="all"/>
  </connection>
  <connection id="11" name="Connection12" type="4" refreshedVersion="5" deleted="1" background="1" saveData="1">
    <webPr xl2000="1" htmlTables="1" htmlFormat="all"/>
  </connection>
  <connection id="12" name="Connection12111" type="4" refreshedVersion="5" deleted="1" background="1" saveData="1">
    <webPr xl2000="1" htmlTables="1" htmlFormat="all"/>
  </connection>
  <connection id="13" name="Connection1212" type="4" refreshedVersion="4" deleted="1" background="1" saveData="1">
    <webPr xl2000="1" htmlTables="1" htmlFormat="all"/>
  </connection>
  <connection id="14" name="Connection13" type="4" refreshedVersion="5" deleted="1" background="1" saveData="1">
    <webPr xl2000="1" htmlTables="1" htmlFormat="all"/>
  </connection>
  <connection id="15" name="Connection13111" type="4" refreshedVersion="5" deleted="1" background="1" saveData="1">
    <webPr xl2000="1" htmlTables="1" htmlFormat="all"/>
  </connection>
  <connection id="16" name="Connection1312" type="4" refreshedVersion="4" deleted="1" background="1" saveData="1">
    <webPr xl2000="1" htmlTables="1" htmlFormat="all"/>
  </connection>
  <connection id="17" name="Connection137" type="4" refreshedVersion="5" deleted="1" background="1" saveData="1">
    <webPr xl2000="1" htmlTables="1" htmlFormat="all"/>
  </connection>
  <connection id="18" name="Connection13711" type="4" refreshedVersion="5" deleted="1" background="1" saveData="1">
    <webPr xl2000="1" htmlTables="1" htmlFormat="all"/>
  </connection>
  <connection id="19" name="Connection14" type="4" refreshedVersion="5" deleted="1" background="1" saveData="1">
    <webPr xl2000="1" htmlTables="1" htmlFormat="all"/>
  </connection>
  <connection id="20" name="Connection14111" type="4" refreshedVersion="5" deleted="1" background="1" saveData="1">
    <webPr xl2000="1" htmlTables="1" htmlFormat="all"/>
  </connection>
  <connection id="21" name="Connection1412" type="4" refreshedVersion="4" deleted="1" background="1" saveData="1">
    <webPr xl2000="1" htmlTables="1" htmlFormat="all"/>
  </connection>
  <connection id="22" name="Connection15" type="4" refreshedVersion="5" deleted="1" background="1" saveData="1">
    <webPr xl2000="1" htmlTables="1" htmlFormat="all"/>
  </connection>
  <connection id="23" name="Connection15111" type="4" refreshedVersion="5" deleted="1" background="1" saveData="1">
    <webPr xl2000="1" htmlTables="1" htmlFormat="all"/>
  </connection>
  <connection id="24" name="Connection1512" type="4" refreshedVersion="4" deleted="1" background="1" saveData="1">
    <webPr xl2000="1" htmlTables="1" htmlFormat="all"/>
  </connection>
  <connection id="25" name="Connection16" type="4" refreshedVersion="5" deleted="1" background="1" saveData="1">
    <webPr xl2000="1" htmlTables="1" htmlFormat="all"/>
  </connection>
  <connection id="26" name="Connection16111" type="4" refreshedVersion="5" deleted="1" background="1" saveData="1">
    <webPr xl2000="1" htmlTables="1" htmlFormat="all"/>
  </connection>
  <connection id="27" name="Connection1612" type="4" refreshedVersion="4" deleted="1" background="1" saveData="1">
    <webPr xl2000="1" htmlTables="1" htmlFormat="all"/>
  </connection>
  <connection id="28" name="Connection17" type="4" refreshedVersion="5" deleted="1" background="1" saveData="1">
    <webPr xl2000="1" htmlTables="1" htmlFormat="all"/>
  </connection>
  <connection id="29" name="Connection17111" type="4" refreshedVersion="5" deleted="1" background="1" saveData="1">
    <webPr xl2000="1" htmlTables="1" htmlFormat="all"/>
  </connection>
  <connection id="30" name="Connection1712" type="4" refreshedVersion="4" deleted="1" background="1" saveData="1">
    <webPr xl2000="1" htmlTables="1" htmlFormat="all"/>
  </connection>
  <connection id="31" name="Connection18" type="4" refreshedVersion="5" deleted="1" background="1" saveData="1">
    <webPr xl2000="1" htmlTables="1" htmlFormat="all"/>
  </connection>
  <connection id="32" name="Connection18111" type="4" refreshedVersion="5" deleted="1" background="1" saveData="1">
    <webPr xl2000="1" htmlTables="1" htmlFormat="all"/>
  </connection>
  <connection id="33" name="Connection1812" type="4" refreshedVersion="4" deleted="1" background="1" saveData="1">
    <webPr xl2000="1" htmlTables="1" htmlFormat="all"/>
  </connection>
  <connection id="34" name="Connection19" type="4" refreshedVersion="4" deleted="1" background="1" saveData="1">
    <webPr xl2000="1" htmlTables="1" htmlFormat="all"/>
  </connection>
  <connection id="35" name="Connection191" type="4" refreshedVersion="4" deleted="1" background="1" saveData="1">
    <webPr xl2000="1" htmlTables="1" htmlFormat="all"/>
  </connection>
  <connection id="36" name="Connection2" type="4" refreshedVersion="5" deleted="1" background="1" saveData="1">
    <webPr xl2000="1" htmlTables="1" htmlFormat="all"/>
  </connection>
  <connection id="37" name="Connection20" type="4" refreshedVersion="4" deleted="1" background="1" saveData="1">
    <webPr xl2000="1" htmlTables="1" htmlFormat="all"/>
  </connection>
  <connection id="38" name="Connection201" type="4" refreshedVersion="4" deleted="1" background="1" saveData="1">
    <webPr xl2000="1" htmlTables="1" htmlFormat="all"/>
  </connection>
  <connection id="39" name="Connection21" type="4" refreshedVersion="4" deleted="1" background="1" saveData="1">
    <webPr xl2000="1" htmlTables="1" htmlFormat="all"/>
  </connection>
  <connection id="40" name="Connection2101" type="4" refreshedVersion="5" deleted="1" background="1" saveData="1">
    <webPr xl2000="1" htmlTables="1" htmlFormat="all"/>
  </connection>
  <connection id="41" name="Connection211" type="4" refreshedVersion="4" deleted="1" background="1" saveData="1">
    <webPr xl2000="1" htmlTables="1" htmlFormat="all"/>
  </connection>
  <connection id="42" name="Connection22" type="4" refreshedVersion="4" deleted="1" background="1" saveData="1">
    <webPr xl2000="1" htmlTables="1" htmlFormat="all"/>
  </connection>
  <connection id="43" name="Connection221" type="4" refreshedVersion="4" deleted="1" background="1" saveData="1">
    <webPr xl2000="1" htmlTables="1" htmlFormat="all"/>
  </connection>
  <connection id="44" name="Connection23" type="4" refreshedVersion="4" deleted="1" background="1" saveData="1">
    <webPr xl2000="1" htmlTables="1" htmlFormat="all"/>
  </connection>
  <connection id="45" name="Connection2311" type="4" refreshedVersion="4" deleted="1" background="1" saveData="1">
    <webPr xl2000="1" htmlTables="1" htmlFormat="all"/>
  </connection>
  <connection id="46" name="Connection232" type="4" refreshedVersion="4" deleted="1" background="1" saveData="1">
    <webPr xl2000="1" htmlTables="1" htmlFormat="all"/>
  </connection>
  <connection id="47" name="Connection24" type="4" refreshedVersion="4" deleted="1" background="1" saveData="1">
    <webPr xl2000="1" htmlTables="1" htmlFormat="all"/>
  </connection>
  <connection id="48" name="Connection241" type="4" refreshedVersion="4" deleted="1" background="1" saveData="1">
    <webPr xl2000="1" htmlTables="1" htmlFormat="all"/>
  </connection>
  <connection id="49" name="Connection25" type="4" refreshedVersion="4" deleted="1" background="1" saveData="1">
    <webPr xl2000="1" htmlTables="1" htmlFormat="all"/>
  </connection>
  <connection id="50" name="Connection251" type="4" refreshedVersion="4" deleted="1" background="1" saveData="1">
    <webPr xl2000="1" htmlTables="1" htmlFormat="all"/>
  </connection>
  <connection id="51" name="Connection26" type="4" refreshedVersion="4" deleted="1" background="1" saveData="1">
    <webPr xl2000="1" htmlTables="1" htmlFormat="all"/>
  </connection>
  <connection id="52" name="Connection261" type="4" refreshedVersion="4" deleted="1" background="1" saveData="1">
    <webPr xl2000="1" htmlTables="1" htmlFormat="all"/>
  </connection>
  <connection id="53" name="Connection27" type="4" refreshedVersion="4" deleted="1" background="1" saveData="1">
    <webPr xl2000="1" htmlTables="1" htmlFormat="all"/>
  </connection>
  <connection id="54" name="Connection271" type="4" refreshedVersion="4" deleted="1" background="1" saveData="1">
    <webPr xl2000="1" htmlTables="1" htmlFormat="all"/>
  </connection>
  <connection id="55" name="Connection28" type="4" refreshedVersion="4" deleted="1" background="1" saveData="1">
    <webPr xl2000="1" htmlTables="1" htmlFormat="all"/>
  </connection>
  <connection id="56" name="Connection281" type="4" refreshedVersion="4" deleted="1" background="1" saveData="1">
    <webPr xl2000="1" htmlTables="1" htmlFormat="all"/>
  </connection>
  <connection id="57" name="Connection29" type="4" refreshedVersion="4" deleted="1" background="1" saveData="1">
    <webPr xl2000="1" htmlTables="1" htmlFormat="all"/>
  </connection>
  <connection id="58" name="Connection291" type="4" refreshedVersion="4" deleted="1" background="1" saveData="1">
    <webPr xl2000="1" htmlTables="1" htmlFormat="all"/>
  </connection>
  <connection id="59" name="Connection3" type="4" refreshedVersion="5" deleted="1" background="1" saveData="1">
    <webPr xl2000="1" htmlTables="1" htmlFormat="all"/>
  </connection>
  <connection id="60" name="Connection30" type="4" refreshedVersion="4" deleted="1" background="1" saveData="1">
    <webPr xl2000="1" htmlTables="1" htmlFormat="all"/>
  </connection>
  <connection id="61" name="Connection301" type="4" refreshedVersion="4" deleted="1" background="1" saveData="1">
    <webPr xl2000="1" htmlTables="1" htmlFormat="all"/>
  </connection>
  <connection id="62" name="Connection31" type="4" refreshedVersion="4" deleted="1" background="1" saveData="1">
    <webPr xl2000="1" htmlTables="1" htmlFormat="all"/>
  </connection>
  <connection id="63" name="Connection3101" type="4" refreshedVersion="5" deleted="1" background="1" saveData="1">
    <webPr xl2000="1" htmlTables="1" htmlFormat="all"/>
  </connection>
  <connection id="64" name="Connection311" type="4" refreshedVersion="4" deleted="1" background="1" saveData="1">
    <webPr xl2000="1" htmlTables="1" htmlFormat="all"/>
  </connection>
  <connection id="65" name="Connection32" type="4" refreshedVersion="4" deleted="1" background="1" saveData="1">
    <webPr xl2000="1" htmlTables="1" htmlFormat="all"/>
  </connection>
  <connection id="66" name="Connection3211" type="4" refreshedVersion="4" deleted="1" background="1" saveData="1">
    <webPr xl2000="1" htmlTables="1" htmlFormat="all"/>
  </connection>
  <connection id="67" name="Connection322" type="4" refreshedVersion="4" deleted="1" background="1" saveData="1">
    <webPr xl2000="1" htmlTables="1" htmlFormat="all"/>
  </connection>
  <connection id="68" name="Connection33" type="4" refreshedVersion="4" deleted="1" background="1" saveData="1">
    <webPr xl2000="1" htmlTables="1" htmlFormat="all"/>
  </connection>
  <connection id="69" name="Connection331" type="4" refreshedVersion="4" deleted="1" background="1" saveData="1">
    <webPr xl2000="1" htmlTables="1" htmlFormat="all"/>
  </connection>
  <connection id="70" name="Connection34" type="4" refreshedVersion="4" deleted="1" background="1" saveData="1">
    <webPr xl2000="1" htmlTables="1" htmlFormat="all"/>
  </connection>
  <connection id="71" name="Connection341" type="4" refreshedVersion="4" deleted="1" background="1" saveData="1">
    <webPr xl2000="1" htmlTables="1" htmlFormat="all"/>
  </connection>
  <connection id="72" name="Connection35" type="4" refreshedVersion="4" deleted="1" background="1" saveData="1">
    <webPr xl2000="1" htmlTables="1" htmlFormat="all"/>
  </connection>
  <connection id="73" name="Connection351" type="4" refreshedVersion="4" deleted="1" background="1" saveData="1">
    <webPr xl2000="1" htmlTables="1" htmlFormat="all"/>
  </connection>
  <connection id="74" name="Connection36" type="4" refreshedVersion="4" deleted="1" background="1" saveData="1">
    <webPr xl2000="1" htmlTables="1" htmlFormat="all"/>
  </connection>
  <connection id="75" name="Connection361" type="4" refreshedVersion="4" deleted="1" background="1" saveData="1">
    <webPr xl2000="1" htmlTables="1" htmlFormat="all"/>
  </connection>
  <connection id="76" name="Connection37" type="4" refreshedVersion="4" deleted="1" background="1" saveData="1">
    <webPr xl2000="1" htmlTables="1" htmlFormat="all"/>
  </connection>
  <connection id="77" name="Connection371" type="4" refreshedVersion="4" deleted="1" background="1" saveData="1">
    <webPr xl2000="1" htmlTables="1" htmlFormat="all"/>
  </connection>
  <connection id="78" name="Connection38" type="4" refreshedVersion="4" deleted="1" background="1" saveData="1">
    <webPr xl2000="1" htmlTables="1" htmlFormat="all"/>
  </connection>
  <connection id="79" name="Connection381" type="4" refreshedVersion="4" deleted="1" background="1" saveData="1">
    <webPr xl2000="1" htmlTables="1" htmlFormat="all"/>
  </connection>
  <connection id="80" name="Connection39" type="4" refreshedVersion="4" deleted="1" background="1" saveData="1">
    <webPr xl2000="1" htmlTables="1" htmlFormat="all"/>
  </connection>
  <connection id="81" name="Connection391" type="4" refreshedVersion="4" deleted="1" background="1" saveData="1">
    <webPr xl2000="1" htmlTables="1" htmlFormat="all"/>
  </connection>
  <connection id="82" name="Connection40" type="4" refreshedVersion="4" deleted="1" background="1" saveData="1">
    <webPr xl2000="1" htmlTables="1" htmlFormat="all"/>
  </connection>
  <connection id="83" name="Connection401" type="4" refreshedVersion="4" deleted="1" background="1" saveData="1">
    <webPr xl2000="1" htmlTables="1" htmlFormat="all"/>
  </connection>
  <connection id="84" name="Connection41" type="4" refreshedVersion="4" deleted="1" background="1" saveData="1">
    <webPr xl2000="1" htmlTables="1" htmlFormat="all"/>
  </connection>
  <connection id="85" name="Connection410" type="4" refreshedVersion="4" deleted="1" background="1" saveData="1">
    <webPr xl2000="1" htmlTables="1" htmlFormat="all"/>
  </connection>
  <connection id="86" name="Connection411" type="4" refreshedVersion="4" deleted="1" background="1" saveData="1">
    <webPr xl2000="1" htmlTables="1" htmlFormat="all"/>
  </connection>
  <connection id="87" name="Connection42" type="4" refreshedVersion="4" deleted="1" background="1" saveData="1">
    <webPr xl2000="1" htmlTables="1" htmlFormat="all"/>
  </connection>
  <connection id="88" name="Connection421" type="4" refreshedVersion="4" deleted="1" background="1" saveData="1">
    <webPr xl2000="1" htmlTables="1" htmlFormat="all"/>
  </connection>
  <connection id="89" name="Connection43" type="4" refreshedVersion="4" deleted="1" background="1" saveData="1">
    <webPr xl2000="1" htmlTables="1" htmlFormat="all"/>
  </connection>
  <connection id="90" name="Connection431" type="4" refreshedVersion="4" deleted="1" background="1" saveData="1">
    <webPr xl2000="1" htmlTables="1" htmlFormat="all"/>
  </connection>
  <connection id="91" name="Connection44" type="4" refreshedVersion="4" deleted="1" background="1" saveData="1">
    <webPr xl2000="1" htmlTables="1" htmlFormat="all"/>
  </connection>
  <connection id="92" name="Connection441" type="4" refreshedVersion="4" deleted="1" background="1" saveData="1">
    <webPr xl2000="1" htmlTables="1" htmlFormat="all"/>
  </connection>
  <connection id="93" name="Connection45" type="4" refreshedVersion="4" deleted="1" background="1" saveData="1">
    <webPr xl2000="1" htmlTables="1" htmlFormat="all"/>
  </connection>
  <connection id="94" name="Connection451" type="4" refreshedVersion="4" deleted="1" background="1" saveData="1">
    <webPr xl2000="1" htmlTables="1" htmlFormat="all"/>
  </connection>
  <connection id="95" name="Connection46" type="4" refreshedVersion="4" deleted="1" background="1" saveData="1">
    <webPr xl2000="1" htmlTables="1" htmlFormat="all"/>
  </connection>
  <connection id="96" name="Connection461" type="4" refreshedVersion="4" deleted="1" background="1" saveData="1">
    <webPr xl2000="1" htmlTables="1" htmlFormat="all"/>
  </connection>
  <connection id="97" name="Connection47" type="4" refreshedVersion="4" deleted="1" background="1" saveData="1">
    <webPr xl2000="1" htmlTables="1" htmlFormat="all"/>
  </connection>
  <connection id="98" name="Connection471" type="4" refreshedVersion="4" deleted="1" background="1" saveData="1">
    <webPr xl2000="1" htmlTables="1" htmlFormat="all"/>
  </connection>
  <connection id="99" name="Connection48" type="4" refreshedVersion="4" deleted="1" background="1" saveData="1">
    <webPr xl2000="1" htmlTables="1" htmlFormat="all"/>
  </connection>
  <connection id="100" name="Connection481" type="4" refreshedVersion="4" deleted="1" background="1" saveData="1">
    <webPr xl2000="1" htmlTables="1" htmlFormat="all"/>
  </connection>
  <connection id="101" name="Connection49" type="4" refreshedVersion="4" deleted="1" background="1" saveData="1">
    <webPr xl2000="1" htmlTables="1" htmlFormat="all"/>
  </connection>
  <connection id="102" name="Connection491" type="4" refreshedVersion="4" deleted="1" background="1" saveData="1">
    <webPr xl2000="1" htmlTables="1" htmlFormat="all"/>
  </connection>
  <connection id="103" name="Connection5" type="4" refreshedVersion="5" deleted="1" background="1" saveData="1">
    <webPr xl2000="1" htmlTables="1" htmlFormat="all"/>
  </connection>
  <connection id="104" name="Connection50" type="4" refreshedVersion="4" deleted="1" background="1" saveData="1">
    <webPr xl2000="1" htmlTables="1" htmlFormat="all"/>
  </connection>
  <connection id="105" name="Connection501" type="4" refreshedVersion="4" deleted="1" background="1" saveData="1">
    <webPr xl2000="1" htmlTables="1" htmlFormat="all"/>
  </connection>
  <connection id="106" name="Connection51" type="4" refreshedVersion="4" deleted="1" background="1" saveData="1">
    <webPr xl2000="1" htmlTables="1" htmlFormat="all"/>
  </connection>
  <connection id="107" name="Connection5101" type="4" refreshedVersion="5" deleted="1" background="1" saveData="1">
    <webPr xl2000="1" htmlTables="1" htmlFormat="all"/>
  </connection>
  <connection id="108" name="Connection5111" type="4" refreshedVersion="4" deleted="1" background="1" saveData="1">
    <webPr xl2000="1" htmlTables="1" htmlFormat="all"/>
  </connection>
  <connection id="109" name="Connection512" type="4" refreshedVersion="4" deleted="1" background="1" saveData="1">
    <webPr xl2000="1" htmlTables="1" htmlFormat="all"/>
  </connection>
  <connection id="110" name="Connection52" type="4" refreshedVersion="4" deleted="1" background="1" saveData="1">
    <webPr xl2000="1" htmlTables="1" htmlFormat="all"/>
  </connection>
  <connection id="111" name="Connection521" type="4" refreshedVersion="4" deleted="1" background="1" saveData="1">
    <webPr xl2000="1" htmlTables="1" htmlFormat="all"/>
  </connection>
  <connection id="112" name="Connection53" type="4" refreshedVersion="4" deleted="1" background="1" saveData="1">
    <webPr xl2000="1" htmlTables="1" htmlFormat="all"/>
  </connection>
  <connection id="113" name="Connection531" type="4" refreshedVersion="4" deleted="1" background="1" saveData="1">
    <webPr xl2000="1" htmlTables="1" htmlFormat="all"/>
  </connection>
  <connection id="114" name="Connection54" type="4" refreshedVersion="4" deleted="1" background="1" saveData="1">
    <webPr xl2000="1" htmlTables="1" htmlFormat="all"/>
  </connection>
  <connection id="115" name="Connection541" type="4" refreshedVersion="4" deleted="1" background="1" saveData="1">
    <webPr xl2000="1" htmlTables="1" htmlFormat="all"/>
  </connection>
  <connection id="116" name="Connection55" type="4" refreshedVersion="4" deleted="1" background="1" saveData="1">
    <webPr xl2000="1" htmlTables="1" htmlFormat="all"/>
  </connection>
  <connection id="117" name="Connection551" type="4" refreshedVersion="4" deleted="1" background="1" saveData="1">
    <webPr xl2000="1" htmlTables="1" htmlFormat="all"/>
  </connection>
  <connection id="118" name="Connection56" type="4" refreshedVersion="4" deleted="1" background="1" saveData="1">
    <webPr xl2000="1" htmlTables="1" htmlFormat="all"/>
  </connection>
  <connection id="119" name="Connection561" type="4" refreshedVersion="4" deleted="1" background="1" saveData="1">
    <webPr xl2000="1" htmlTables="1" htmlFormat="all"/>
  </connection>
  <connection id="120" name="Connection57" type="4" refreshedVersion="4" deleted="1" background="1" saveData="1">
    <webPr xl2000="1" htmlTables="1" htmlFormat="all"/>
  </connection>
  <connection id="121" name="Connection571" type="4" refreshedVersion="4" deleted="1" background="1" saveData="1">
    <webPr xl2000="1" htmlTables="1" htmlFormat="all"/>
  </connection>
  <connection id="122" name="Connection58" type="4" refreshedVersion="4" deleted="1" background="1" saveData="1">
    <webPr xl2000="1" htmlTables="1" htmlFormat="all"/>
  </connection>
  <connection id="123" name="Connection581" type="4" refreshedVersion="4" deleted="1" background="1" saveData="1">
    <webPr xl2000="1" htmlTables="1" htmlFormat="all"/>
  </connection>
  <connection id="124" name="Connection60" type="4" refreshedVersion="4" deleted="1" background="1" saveData="1">
    <webPr xl2000="1" htmlTables="1" htmlFormat="all"/>
  </connection>
  <connection id="125" name="Connection601" type="4" refreshedVersion="4" deleted="1" background="1" saveData="1">
    <webPr xl2000="1" htmlTables="1" htmlFormat="all"/>
  </connection>
  <connection id="126" name="Connection61" type="4" refreshedVersion="4" deleted="1" background="1" saveData="1">
    <webPr xl2000="1" htmlTables="1" htmlFormat="all"/>
  </connection>
  <connection id="127" name="Connection611" type="4" refreshedVersion="4" deleted="1" background="1" saveData="1">
    <webPr xl2000="1" htmlTables="1" htmlFormat="all"/>
  </connection>
  <connection id="128" name="Connection62" type="4" refreshedVersion="4" deleted="1" background="1" saveData="1">
    <webPr xl2000="1" htmlTables="1" htmlFormat="all"/>
  </connection>
  <connection id="129" name="Connection621" type="4" refreshedVersion="4" deleted="1" background="1" saveData="1">
    <webPr xl2000="1" htmlTables="1" htmlFormat="all"/>
  </connection>
  <connection id="130" name="Connection63" type="4" refreshedVersion="4" deleted="1" background="1" saveData="1">
    <webPr xl2000="1" htmlTables="1" htmlFormat="all"/>
  </connection>
  <connection id="131" name="Connection631" type="4" refreshedVersion="4" deleted="1" background="1" saveData="1">
    <webPr xl2000="1" htmlTables="1" htmlFormat="all"/>
  </connection>
  <connection id="132" name="Connection64" type="4" refreshedVersion="4" deleted="1" background="1" saveData="1">
    <webPr xl2000="1" htmlTables="1" htmlFormat="all"/>
  </connection>
  <connection id="133" name="Connection641" type="4" refreshedVersion="4" deleted="1" background="1" saveData="1">
    <webPr xl2000="1" htmlTables="1" htmlFormat="all"/>
  </connection>
  <connection id="134" name="Connection65" type="4" refreshedVersion="4" deleted="1" background="1" saveData="1">
    <webPr xl2000="1" htmlTables="1" htmlFormat="all"/>
  </connection>
  <connection id="135" name="Connection651" type="4" refreshedVersion="4" deleted="1" background="1" saveData="1">
    <webPr xl2000="1" htmlTables="1" htmlFormat="all"/>
  </connection>
  <connection id="136" name="Connection66" type="4" refreshedVersion="4" deleted="1" background="1" saveData="1">
    <webPr xl2000="1" htmlTables="1" htmlFormat="all"/>
  </connection>
  <connection id="137" name="Connection661" type="4" refreshedVersion="4" deleted="1" background="1" saveData="1">
    <webPr xl2000="1" htmlTables="1" htmlFormat="all"/>
  </connection>
  <connection id="138" name="Connection67" type="4" refreshedVersion="4" deleted="1" background="1" saveData="1">
    <webPr xl2000="1" htmlTables="1" htmlFormat="all"/>
  </connection>
  <connection id="139" name="Connection671" type="4" refreshedVersion="4" deleted="1" background="1" saveData="1">
    <webPr xl2000="1" htmlTables="1" htmlFormat="all"/>
  </connection>
  <connection id="140" name="Connection68" type="4" refreshedVersion="4" deleted="1" background="1" saveData="1">
    <webPr xl2000="1" htmlTables="1" htmlFormat="all"/>
  </connection>
  <connection id="141" name="Connection681" type="4" refreshedVersion="4" deleted="1" background="1" saveData="1">
    <webPr xl2000="1" htmlTables="1" htmlFormat="all"/>
  </connection>
  <connection id="142" name="Connection69" type="4" refreshedVersion="4" deleted="1" background="1" saveData="1">
    <webPr xl2000="1" htmlTables="1" htmlFormat="all"/>
  </connection>
  <connection id="143" name="Connection691" type="4" refreshedVersion="4" deleted="1" background="1" saveData="1">
    <webPr xl2000="1" htmlTables="1" htmlFormat="all"/>
  </connection>
  <connection id="144" name="Connection7" type="4" refreshedVersion="5" deleted="1" background="1" saveData="1">
    <webPr xl2000="1" htmlTables="1" htmlFormat="all"/>
  </connection>
  <connection id="145" name="Connection70" type="4" refreshedVersion="4" deleted="1" background="1" saveData="1">
    <webPr xl2000="1" htmlTables="1" htmlFormat="all"/>
  </connection>
  <connection id="146" name="Connection701" type="4" refreshedVersion="4" deleted="1" background="1" saveData="1">
    <webPr xl2000="1" htmlTables="1" htmlFormat="all"/>
  </connection>
  <connection id="147" name="Connection71" type="4" refreshedVersion="4" deleted="1" background="1" saveData="1">
    <webPr xl2000="1" htmlTables="1" htmlFormat="all"/>
  </connection>
  <connection id="148" name="Connection7101" type="4" refreshedVersion="5" deleted="1" background="1" saveData="1">
    <webPr xl2000="1" htmlTables="1" htmlFormat="all"/>
  </connection>
  <connection id="149" name="Connection7111" type="4" refreshedVersion="4" deleted="1" background="1" saveData="1">
    <webPr xl2000="1" htmlTables="1" htmlFormat="all"/>
  </connection>
  <connection id="150" name="Connection712" type="4" refreshedVersion="4" deleted="1" background="1" saveData="1">
    <webPr xl2000="1" htmlTables="1" htmlFormat="all"/>
  </connection>
  <connection id="151" name="Connection72" type="4" refreshedVersion="4" deleted="1" background="1" saveData="1">
    <webPr xl2000="1" htmlTables="1" htmlFormat="all"/>
  </connection>
  <connection id="152" name="Connection721" type="4" refreshedVersion="4" deleted="1" background="1" saveData="1">
    <webPr xl2000="1" htmlTables="1" htmlFormat="all"/>
  </connection>
  <connection id="153" name="Connection73" type="4" refreshedVersion="4" deleted="1" background="1" saveData="1">
    <webPr xl2000="1" htmlTables="1" htmlFormat="all"/>
  </connection>
  <connection id="154" name="Connection731" type="4" refreshedVersion="4" deleted="1" background="1" saveData="1">
    <webPr xl2000="1" htmlTables="1" htmlFormat="all"/>
  </connection>
  <connection id="155" name="Connection74" type="4" refreshedVersion="4" deleted="1" background="1" saveData="1">
    <webPr xl2000="1" htmlTables="1" htmlFormat="all"/>
  </connection>
  <connection id="156" name="Connection741" type="4" refreshedVersion="4" deleted="1" background="1" saveData="1">
    <webPr xl2000="1" htmlTables="1" htmlFormat="all"/>
  </connection>
  <connection id="157" name="Connection751" type="4" refreshedVersion="4" deleted="1" background="1" saveData="1">
    <webPr xl2000="1" htmlTables="1" htmlFormat="all"/>
  </connection>
  <connection id="158" name="Connection761" type="4" refreshedVersion="4" deleted="1" background="1" saveData="1">
    <webPr xl2000="1" htmlTables="1" htmlFormat="all"/>
  </connection>
  <connection id="159" name="Connection771" type="4" refreshedVersion="4" deleted="1" background="1" saveData="1">
    <webPr xl2000="1" htmlTables="1" htmlFormat="all"/>
  </connection>
  <connection id="160" name="Connection781" type="4" refreshedVersion="4" deleted="1" background="1" saveData="1">
    <webPr xl2000="1" htmlTables="1" htmlFormat="all"/>
  </connection>
  <connection id="161" name="Connection791" type="4" refreshedVersion="4" deleted="1" background="1" saveData="1">
    <webPr xl2000="1" htmlTables="1" htmlFormat="all"/>
  </connection>
  <connection id="162" name="Connection801" type="4" refreshedVersion="4" deleted="1" background="1" saveData="1">
    <webPr xl2000="1" htmlTables="1" htmlFormat="all"/>
  </connection>
  <connection id="163" name="Connection811" type="4" refreshedVersion="4" deleted="1" background="1" saveData="1">
    <webPr xl2000="1" htmlTables="1" htmlFormat="all"/>
  </connection>
  <connection id="164" name="Connection821" type="4" refreshedVersion="4" deleted="1" background="1" saveData="1">
    <webPr xl2000="1" htmlTables="1" htmlFormat="all"/>
  </connection>
  <connection id="165" name="Connection831" type="4" refreshedVersion="4" deleted="1" background="1" saveData="1">
    <webPr xl2000="1" htmlTables="1" htmlFormat="all"/>
  </connection>
  <connection id="166" name="Connection841" type="4" refreshedVersion="4" deleted="1" background="1" saveData="1">
    <webPr xl2000="1" htmlTables="1" htmlFormat="all"/>
  </connection>
  <connection id="167" name="Connection851" type="4" refreshedVersion="4" deleted="1" background="1" saveData="1">
    <webPr xl2000="1" htmlTables="1" htmlFormat="all"/>
  </connection>
  <connection id="168" name="Connection861" type="4" refreshedVersion="5" deleted="1" background="1" saveData="1">
    <webPr xl2000="1" htmlTables="1" htmlFormat="all"/>
  </connection>
  <connection id="169" name="Connection9" type="4" refreshedVersion="5" deleted="1" background="1" saveData="1">
    <webPr xl2000="1" htmlTables="1" htmlFormat="all"/>
  </connection>
  <connection id="170" name="Connection9111" type="4" refreshedVersion="5" deleted="1" background="1" saveData="1">
    <webPr xl2000="1" htmlTables="1" htmlFormat="all"/>
  </connection>
  <connection id="171" name="Connection912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<sst xmlns="http://schemas.openxmlformats.org/spreadsheetml/2006/main" count="22" uniqueCount="22">
  <si>
    <t>Money Flow Index</t>
  </si>
  <si>
    <t>Money Ratio</t>
  </si>
  <si>
    <t>时间</t>
  </si>
  <si>
    <t>开盘价</t>
  </si>
  <si>
    <t>最高</t>
  </si>
  <si>
    <t>最低</t>
  </si>
  <si>
    <t>收盘价</t>
  </si>
  <si>
    <t>成交量</t>
  </si>
  <si>
    <t>专栏：EXCEL做量化</t>
    <phoneticPr fontId="4" type="noConversion"/>
  </si>
  <si>
    <t>作者：不写代码</t>
    <phoneticPr fontId="4" type="noConversion"/>
  </si>
  <si>
    <t>Money Flow</t>
    <phoneticPr fontId="4" type="noConversion"/>
  </si>
  <si>
    <t>Typical Price</t>
    <phoneticPr fontId="4" type="noConversion"/>
  </si>
  <si>
    <t>MFI</t>
    <phoneticPr fontId="4" type="noConversion"/>
  </si>
  <si>
    <t>Positive 
Money Flow</t>
    <phoneticPr fontId="4" type="noConversion"/>
  </si>
  <si>
    <t>Sum of Positive 
Money Flow</t>
    <phoneticPr fontId="4" type="noConversion"/>
  </si>
  <si>
    <t>Sum of Negative 
Money Flow</t>
    <phoneticPr fontId="4" type="noConversion"/>
  </si>
  <si>
    <t>Negative 
Money Flow</t>
    <phoneticPr fontId="4" type="noConversion"/>
  </si>
  <si>
    <t>Parameters</t>
    <phoneticPr fontId="4" type="noConversion"/>
  </si>
  <si>
    <t>股票名称</t>
    <phoneticPr fontId="4" type="noConversion"/>
  </si>
  <si>
    <t>平安银行</t>
    <phoneticPr fontId="4" type="noConversion"/>
  </si>
  <si>
    <t>开始日</t>
    <phoneticPr fontId="4" type="noConversion"/>
  </si>
  <si>
    <t>结束日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</si>
</sst>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76" formatCode="0.000%"/>
    <numFmt numFmtId="177" formatCode="_ * #,##0_ ;_ * \-#,##0_ ;_ * &quot;-&quot;??_ ;_ @_ "/>
    <numFmt numFmtId="178" formatCode="yyyy\-mm\-dd;@"/>
  </numFmts>
  <fonts count="8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b/>
      <sz val="24"/>
      <color theme="1"/>
      <name val="Arial"/>
      <family val="2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b/>
      <sz val="11"/>
      <color theme="1"/>
      <name val="微软雅黑 Light"/>
      <family val="2"/>
      <charset val="134"/>
    </font>
    <font>
      <b/>
      <sz val="11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</cellStyleXfs>
  <cellXfs count="20">
    <xf numFmtId="0" fontId="0" fillId="0" borderId="0" xfId="0"/>
    <xf numFmtId="0" fontId="2" fillId="0" borderId="0" xfId="0" applyFont="1"/>
    <xf numFmtId="176" fontId="0" fillId="0" borderId="0" xfId="0" applyNumberFormat="1"/>
    <xf numFmtId="0" fontId="0" fillId="0" borderId="0" xfId="0" applyFill="1" applyBorder="1"/>
    <xf numFmtId="0" fontId="5" fillId="0" borderId="0" xfId="0" applyFont="1"/>
    <xf numFmtId="43" fontId="5" fillId="0" borderId="0" xfId="2" applyFont="1" applyAlignment="1"/>
    <xf numFmtId="177" fontId="5" fillId="0" borderId="0" xfId="2" applyNumberFormat="1" applyFont="1" applyAlignment="1"/>
    <xf numFmtId="14" fontId="5" fillId="0" borderId="0" xfId="2" applyNumberFormat="1" applyFont="1" applyAlignment="1"/>
    <xf numFmtId="0" fontId="6" fillId="0" borderId="0" xfId="0" applyFont="1"/>
    <xf numFmtId="14" fontId="5" fillId="0" borderId="0" xfId="2" applyNumberFormat="1" applyFont="1" applyAlignment="1">
      <alignment horizontal="center" wrapText="1"/>
    </xf>
    <xf numFmtId="43" fontId="5" fillId="0" borderId="0" xfId="2" applyFont="1" applyAlignment="1">
      <alignment horizontal="center" wrapText="1"/>
    </xf>
    <xf numFmtId="177" fontId="5" fillId="0" borderId="0" xfId="2" applyNumberFormat="1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4" xfId="0" applyFont="1" applyFill="1" applyBorder="1" applyAlignment="1">
      <alignment horizontal="center"/>
    </xf>
    <xf numFmtId="178" fontId="7" fillId="2" borderId="4" xfId="0" applyNumberFormat="1" applyFont="1" applyFill="1" applyBorder="1" applyAlignment="1">
      <alignment horizontal="center"/>
    </xf>
    <xf numFmtId="0" fontId="7" fillId="2" borderId="5" xfId="0" applyFont="1" applyFill="1" applyBorder="1"/>
    <xf numFmtId="0" fontId="0" fillId="2" borderId="0" xfId="0" applyFill="1"/>
  </cellXfs>
  <cellStyles count="4">
    <cellStyle name="Normal 2" xfId="1"/>
    <cellStyle name="常规" xfId="0" builtinId="0"/>
    <cellStyle name="千位分隔" xfId="2" builtinId="3"/>
    <cellStyle name="千位分隔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zh-CN" altLang="en-US"/>
              <a:t>平安银行 </a:t>
            </a:r>
            <a:r>
              <a:rPr lang="en-US" altLang="zh-CN"/>
              <a:t>MFI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Close Price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数据Data!$A$2:$A$252</c:f>
              <c:numCache>
                <c:formatCode>m/d/yyyy</c:formatCode>
                <c:ptCount val="246"/>
                <c:pt idx="0">
                  <c:v>43467</c:v>
                </c:pt>
                <c:pt idx="1">
                  <c:v>43468</c:v>
                </c:pt>
                <c:pt idx="2">
                  <c:v>43476</c:v>
                </c:pt>
                <c:pt idx="3">
                  <c:v>43479</c:v>
                </c:pt>
                <c:pt idx="4">
                  <c:v>43480</c:v>
                </c:pt>
                <c:pt idx="5">
                  <c:v>43481</c:v>
                </c:pt>
                <c:pt idx="6">
                  <c:v>43482</c:v>
                </c:pt>
                <c:pt idx="7">
                  <c:v>43483</c:v>
                </c:pt>
                <c:pt idx="8">
                  <c:v>43486</c:v>
                </c:pt>
                <c:pt idx="9">
                  <c:v>43487</c:v>
                </c:pt>
                <c:pt idx="10">
                  <c:v>43488</c:v>
                </c:pt>
                <c:pt idx="11">
                  <c:v>43489</c:v>
                </c:pt>
                <c:pt idx="12">
                  <c:v>43490</c:v>
                </c:pt>
                <c:pt idx="13">
                  <c:v>43493</c:v>
                </c:pt>
                <c:pt idx="14">
                  <c:v>43494</c:v>
                </c:pt>
                <c:pt idx="15">
                  <c:v>43495</c:v>
                </c:pt>
                <c:pt idx="16">
                  <c:v>43496</c:v>
                </c:pt>
                <c:pt idx="17">
                  <c:v>43497</c:v>
                </c:pt>
                <c:pt idx="18">
                  <c:v>43507</c:v>
                </c:pt>
                <c:pt idx="19">
                  <c:v>43508</c:v>
                </c:pt>
                <c:pt idx="20">
                  <c:v>43509</c:v>
                </c:pt>
                <c:pt idx="21">
                  <c:v>43510</c:v>
                </c:pt>
                <c:pt idx="22">
                  <c:v>43511</c:v>
                </c:pt>
                <c:pt idx="23">
                  <c:v>43514</c:v>
                </c:pt>
                <c:pt idx="24">
                  <c:v>43515</c:v>
                </c:pt>
                <c:pt idx="25">
                  <c:v>43516</c:v>
                </c:pt>
                <c:pt idx="26">
                  <c:v>43517</c:v>
                </c:pt>
                <c:pt idx="27">
                  <c:v>43518</c:v>
                </c:pt>
                <c:pt idx="28">
                  <c:v>43521</c:v>
                </c:pt>
                <c:pt idx="29">
                  <c:v>43522</c:v>
                </c:pt>
                <c:pt idx="30">
                  <c:v>43523</c:v>
                </c:pt>
                <c:pt idx="31">
                  <c:v>43524</c:v>
                </c:pt>
                <c:pt idx="32">
                  <c:v>43525</c:v>
                </c:pt>
                <c:pt idx="33">
                  <c:v>43528</c:v>
                </c:pt>
                <c:pt idx="34">
                  <c:v>43529</c:v>
                </c:pt>
                <c:pt idx="35">
                  <c:v>43530</c:v>
                </c:pt>
                <c:pt idx="36">
                  <c:v>43531</c:v>
                </c:pt>
                <c:pt idx="37">
                  <c:v>43532</c:v>
                </c:pt>
                <c:pt idx="38">
                  <c:v>43535</c:v>
                </c:pt>
                <c:pt idx="39">
                  <c:v>43536</c:v>
                </c:pt>
                <c:pt idx="40">
                  <c:v>43537</c:v>
                </c:pt>
                <c:pt idx="41">
                  <c:v>43538</c:v>
                </c:pt>
                <c:pt idx="42">
                  <c:v>43539</c:v>
                </c:pt>
                <c:pt idx="43">
                  <c:v>43542</c:v>
                </c:pt>
                <c:pt idx="44">
                  <c:v>43543</c:v>
                </c:pt>
                <c:pt idx="45">
                  <c:v>43544</c:v>
                </c:pt>
                <c:pt idx="46">
                  <c:v>43545</c:v>
                </c:pt>
                <c:pt idx="47">
                  <c:v>43546</c:v>
                </c:pt>
                <c:pt idx="48">
                  <c:v>43549</c:v>
                </c:pt>
                <c:pt idx="49">
                  <c:v>43550</c:v>
                </c:pt>
                <c:pt idx="50">
                  <c:v>43551</c:v>
                </c:pt>
                <c:pt idx="51">
                  <c:v>43552</c:v>
                </c:pt>
                <c:pt idx="52">
                  <c:v>43553</c:v>
                </c:pt>
                <c:pt idx="53">
                  <c:v>43556</c:v>
                </c:pt>
                <c:pt idx="54">
                  <c:v>43557</c:v>
                </c:pt>
                <c:pt idx="55">
                  <c:v>43558</c:v>
                </c:pt>
                <c:pt idx="56">
                  <c:v>43559</c:v>
                </c:pt>
                <c:pt idx="57">
                  <c:v>43563</c:v>
                </c:pt>
                <c:pt idx="58">
                  <c:v>43564</c:v>
                </c:pt>
                <c:pt idx="59">
                  <c:v>43565</c:v>
                </c:pt>
                <c:pt idx="60">
                  <c:v>43566</c:v>
                </c:pt>
                <c:pt idx="61">
                  <c:v>43567</c:v>
                </c:pt>
                <c:pt idx="62">
                  <c:v>43570</c:v>
                </c:pt>
                <c:pt idx="63">
                  <c:v>43571</c:v>
                </c:pt>
                <c:pt idx="64">
                  <c:v>43572</c:v>
                </c:pt>
                <c:pt idx="65">
                  <c:v>43573</c:v>
                </c:pt>
                <c:pt idx="66">
                  <c:v>43574</c:v>
                </c:pt>
                <c:pt idx="67">
                  <c:v>43577</c:v>
                </c:pt>
                <c:pt idx="68">
                  <c:v>43578</c:v>
                </c:pt>
                <c:pt idx="69">
                  <c:v>43579</c:v>
                </c:pt>
                <c:pt idx="70">
                  <c:v>43580</c:v>
                </c:pt>
                <c:pt idx="71">
                  <c:v>43581</c:v>
                </c:pt>
                <c:pt idx="72">
                  <c:v>43584</c:v>
                </c:pt>
                <c:pt idx="73">
                  <c:v>43585</c:v>
                </c:pt>
                <c:pt idx="74">
                  <c:v>43591</c:v>
                </c:pt>
                <c:pt idx="75">
                  <c:v>43592</c:v>
                </c:pt>
                <c:pt idx="76">
                  <c:v>43593</c:v>
                </c:pt>
                <c:pt idx="77">
                  <c:v>43594</c:v>
                </c:pt>
                <c:pt idx="78">
                  <c:v>43595</c:v>
                </c:pt>
                <c:pt idx="79">
                  <c:v>43598</c:v>
                </c:pt>
                <c:pt idx="80">
                  <c:v>43599</c:v>
                </c:pt>
                <c:pt idx="81">
                  <c:v>43600</c:v>
                </c:pt>
                <c:pt idx="82">
                  <c:v>43601</c:v>
                </c:pt>
                <c:pt idx="83">
                  <c:v>43602</c:v>
                </c:pt>
                <c:pt idx="84">
                  <c:v>43605</c:v>
                </c:pt>
                <c:pt idx="85">
                  <c:v>43606</c:v>
                </c:pt>
                <c:pt idx="86">
                  <c:v>43607</c:v>
                </c:pt>
                <c:pt idx="87">
                  <c:v>43608</c:v>
                </c:pt>
                <c:pt idx="88">
                  <c:v>43609</c:v>
                </c:pt>
                <c:pt idx="89">
                  <c:v>43612</c:v>
                </c:pt>
                <c:pt idx="90">
                  <c:v>43613</c:v>
                </c:pt>
                <c:pt idx="91">
                  <c:v>43614</c:v>
                </c:pt>
                <c:pt idx="92">
                  <c:v>43615</c:v>
                </c:pt>
                <c:pt idx="93">
                  <c:v>43616</c:v>
                </c:pt>
                <c:pt idx="94">
                  <c:v>43619</c:v>
                </c:pt>
                <c:pt idx="95">
                  <c:v>43620</c:v>
                </c:pt>
                <c:pt idx="96">
                  <c:v>43621</c:v>
                </c:pt>
                <c:pt idx="97">
                  <c:v>43622</c:v>
                </c:pt>
                <c:pt idx="98">
                  <c:v>43626</c:v>
                </c:pt>
                <c:pt idx="99">
                  <c:v>43627</c:v>
                </c:pt>
                <c:pt idx="100">
                  <c:v>43628</c:v>
                </c:pt>
                <c:pt idx="101">
                  <c:v>43629</c:v>
                </c:pt>
                <c:pt idx="102">
                  <c:v>43630</c:v>
                </c:pt>
                <c:pt idx="103">
                  <c:v>43633</c:v>
                </c:pt>
                <c:pt idx="104">
                  <c:v>43634</c:v>
                </c:pt>
                <c:pt idx="105">
                  <c:v>43635</c:v>
                </c:pt>
                <c:pt idx="106">
                  <c:v>43636</c:v>
                </c:pt>
                <c:pt idx="107">
                  <c:v>43637</c:v>
                </c:pt>
                <c:pt idx="108">
                  <c:v>43640</c:v>
                </c:pt>
                <c:pt idx="109">
                  <c:v>43641</c:v>
                </c:pt>
                <c:pt idx="110">
                  <c:v>43642</c:v>
                </c:pt>
                <c:pt idx="111">
                  <c:v>43643</c:v>
                </c:pt>
                <c:pt idx="112">
                  <c:v>43644</c:v>
                </c:pt>
                <c:pt idx="113">
                  <c:v>43647</c:v>
                </c:pt>
                <c:pt idx="114">
                  <c:v>43648</c:v>
                </c:pt>
                <c:pt idx="115">
                  <c:v>43649</c:v>
                </c:pt>
                <c:pt idx="116">
                  <c:v>43650</c:v>
                </c:pt>
                <c:pt idx="117">
                  <c:v>43651</c:v>
                </c:pt>
                <c:pt idx="118">
                  <c:v>43654</c:v>
                </c:pt>
                <c:pt idx="119">
                  <c:v>43655</c:v>
                </c:pt>
                <c:pt idx="120">
                  <c:v>43656</c:v>
                </c:pt>
                <c:pt idx="121">
                  <c:v>43657</c:v>
                </c:pt>
                <c:pt idx="122">
                  <c:v>43658</c:v>
                </c:pt>
                <c:pt idx="123">
                  <c:v>43661</c:v>
                </c:pt>
                <c:pt idx="124">
                  <c:v>43662</c:v>
                </c:pt>
                <c:pt idx="125">
                  <c:v>43663</c:v>
                </c:pt>
                <c:pt idx="126">
                  <c:v>43664</c:v>
                </c:pt>
                <c:pt idx="127">
                  <c:v>43665</c:v>
                </c:pt>
                <c:pt idx="128">
                  <c:v>43668</c:v>
                </c:pt>
                <c:pt idx="129">
                  <c:v>43669</c:v>
                </c:pt>
                <c:pt idx="130">
                  <c:v>43670</c:v>
                </c:pt>
                <c:pt idx="131">
                  <c:v>43671</c:v>
                </c:pt>
                <c:pt idx="132">
                  <c:v>43672</c:v>
                </c:pt>
                <c:pt idx="133">
                  <c:v>43675</c:v>
                </c:pt>
                <c:pt idx="134">
                  <c:v>43676</c:v>
                </c:pt>
                <c:pt idx="135">
                  <c:v>43677</c:v>
                </c:pt>
                <c:pt idx="136">
                  <c:v>43678</c:v>
                </c:pt>
                <c:pt idx="137">
                  <c:v>43679</c:v>
                </c:pt>
                <c:pt idx="138">
                  <c:v>43682</c:v>
                </c:pt>
                <c:pt idx="139">
                  <c:v>43683</c:v>
                </c:pt>
                <c:pt idx="140">
                  <c:v>43684</c:v>
                </c:pt>
                <c:pt idx="141">
                  <c:v>43685</c:v>
                </c:pt>
                <c:pt idx="142">
                  <c:v>43686</c:v>
                </c:pt>
                <c:pt idx="143">
                  <c:v>43689</c:v>
                </c:pt>
                <c:pt idx="144">
                  <c:v>43690</c:v>
                </c:pt>
                <c:pt idx="145">
                  <c:v>43691</c:v>
                </c:pt>
                <c:pt idx="146">
                  <c:v>43692</c:v>
                </c:pt>
                <c:pt idx="147">
                  <c:v>43693</c:v>
                </c:pt>
                <c:pt idx="148">
                  <c:v>43696</c:v>
                </c:pt>
                <c:pt idx="149">
                  <c:v>43697</c:v>
                </c:pt>
                <c:pt idx="150">
                  <c:v>43698</c:v>
                </c:pt>
                <c:pt idx="151">
                  <c:v>43699</c:v>
                </c:pt>
                <c:pt idx="152">
                  <c:v>43700</c:v>
                </c:pt>
                <c:pt idx="153">
                  <c:v>43703</c:v>
                </c:pt>
                <c:pt idx="154">
                  <c:v>43704</c:v>
                </c:pt>
                <c:pt idx="155">
                  <c:v>43705</c:v>
                </c:pt>
                <c:pt idx="156">
                  <c:v>43706</c:v>
                </c:pt>
                <c:pt idx="157">
                  <c:v>43707</c:v>
                </c:pt>
                <c:pt idx="158">
                  <c:v>43710</c:v>
                </c:pt>
                <c:pt idx="159">
                  <c:v>43711</c:v>
                </c:pt>
                <c:pt idx="160">
                  <c:v>43712</c:v>
                </c:pt>
                <c:pt idx="161">
                  <c:v>43713</c:v>
                </c:pt>
                <c:pt idx="162">
                  <c:v>43714</c:v>
                </c:pt>
                <c:pt idx="163">
                  <c:v>43717</c:v>
                </c:pt>
                <c:pt idx="164">
                  <c:v>43718</c:v>
                </c:pt>
                <c:pt idx="165">
                  <c:v>43719</c:v>
                </c:pt>
                <c:pt idx="166">
                  <c:v>43720</c:v>
                </c:pt>
                <c:pt idx="167">
                  <c:v>43724</c:v>
                </c:pt>
                <c:pt idx="168">
                  <c:v>43725</c:v>
                </c:pt>
                <c:pt idx="169">
                  <c:v>43726</c:v>
                </c:pt>
                <c:pt idx="170">
                  <c:v>43727</c:v>
                </c:pt>
                <c:pt idx="171">
                  <c:v>43728</c:v>
                </c:pt>
                <c:pt idx="172">
                  <c:v>43731</c:v>
                </c:pt>
                <c:pt idx="173">
                  <c:v>43732</c:v>
                </c:pt>
                <c:pt idx="174">
                  <c:v>43733</c:v>
                </c:pt>
                <c:pt idx="175">
                  <c:v>43734</c:v>
                </c:pt>
                <c:pt idx="176">
                  <c:v>43735</c:v>
                </c:pt>
                <c:pt idx="177">
                  <c:v>43738</c:v>
                </c:pt>
                <c:pt idx="178">
                  <c:v>43746</c:v>
                </c:pt>
                <c:pt idx="179">
                  <c:v>43747</c:v>
                </c:pt>
                <c:pt idx="180">
                  <c:v>43748</c:v>
                </c:pt>
                <c:pt idx="181">
                  <c:v>43749</c:v>
                </c:pt>
                <c:pt idx="182">
                  <c:v>43752</c:v>
                </c:pt>
                <c:pt idx="183">
                  <c:v>43753</c:v>
                </c:pt>
                <c:pt idx="184">
                  <c:v>43754</c:v>
                </c:pt>
                <c:pt idx="185">
                  <c:v>43755</c:v>
                </c:pt>
                <c:pt idx="186">
                  <c:v>43756</c:v>
                </c:pt>
                <c:pt idx="187">
                  <c:v>43759</c:v>
                </c:pt>
                <c:pt idx="188">
                  <c:v>43760</c:v>
                </c:pt>
                <c:pt idx="189">
                  <c:v>43761</c:v>
                </c:pt>
                <c:pt idx="190">
                  <c:v>43762</c:v>
                </c:pt>
                <c:pt idx="191">
                  <c:v>43763</c:v>
                </c:pt>
                <c:pt idx="192">
                  <c:v>43766</c:v>
                </c:pt>
                <c:pt idx="193">
                  <c:v>43767</c:v>
                </c:pt>
                <c:pt idx="194">
                  <c:v>43768</c:v>
                </c:pt>
                <c:pt idx="195">
                  <c:v>43769</c:v>
                </c:pt>
                <c:pt idx="196">
                  <c:v>43770</c:v>
                </c:pt>
                <c:pt idx="197">
                  <c:v>43773</c:v>
                </c:pt>
                <c:pt idx="198">
                  <c:v>43774</c:v>
                </c:pt>
                <c:pt idx="199">
                  <c:v>43775</c:v>
                </c:pt>
                <c:pt idx="200">
                  <c:v>43776</c:v>
                </c:pt>
                <c:pt idx="201">
                  <c:v>43777</c:v>
                </c:pt>
                <c:pt idx="202">
                  <c:v>43780</c:v>
                </c:pt>
                <c:pt idx="203">
                  <c:v>43781</c:v>
                </c:pt>
                <c:pt idx="204">
                  <c:v>43782</c:v>
                </c:pt>
                <c:pt idx="205">
                  <c:v>43783</c:v>
                </c:pt>
                <c:pt idx="206">
                  <c:v>43784</c:v>
                </c:pt>
              </c:numCache>
            </c:numRef>
          </c:cat>
          <c:val>
            <c:numRef>
              <c:f>数据Data!$E$2:$E$252</c:f>
              <c:numCache>
                <c:formatCode>_(* #,##0.00_);_(* \(#,##0.00\);_(* "-"??_);_(@_)</c:formatCode>
                <c:ptCount val="246"/>
                <c:pt idx="0">
                  <c:v>9.19</c:v>
                </c:pt>
                <c:pt idx="1">
                  <c:v>9.2799999999999994</c:v>
                </c:pt>
                <c:pt idx="2">
                  <c:v>10.199999999999999</c:v>
                </c:pt>
                <c:pt idx="3">
                  <c:v>10.11</c:v>
                </c:pt>
                <c:pt idx="4">
                  <c:v>10.24</c:v>
                </c:pt>
                <c:pt idx="5">
                  <c:v>10.48</c:v>
                </c:pt>
                <c:pt idx="6">
                  <c:v>10.25</c:v>
                </c:pt>
                <c:pt idx="7">
                  <c:v>10.43</c:v>
                </c:pt>
                <c:pt idx="8">
                  <c:v>10.34</c:v>
                </c:pt>
                <c:pt idx="9">
                  <c:v>10.28</c:v>
                </c:pt>
                <c:pt idx="10">
                  <c:v>10.35</c:v>
                </c:pt>
                <c:pt idx="11">
                  <c:v>10.52</c:v>
                </c:pt>
                <c:pt idx="12">
                  <c:v>11</c:v>
                </c:pt>
                <c:pt idx="13">
                  <c:v>10.94</c:v>
                </c:pt>
                <c:pt idx="14">
                  <c:v>11</c:v>
                </c:pt>
                <c:pt idx="15">
                  <c:v>10.95</c:v>
                </c:pt>
                <c:pt idx="16">
                  <c:v>11.1</c:v>
                </c:pt>
                <c:pt idx="17">
                  <c:v>11.2</c:v>
                </c:pt>
                <c:pt idx="18">
                  <c:v>11.21</c:v>
                </c:pt>
                <c:pt idx="19">
                  <c:v>11.19</c:v>
                </c:pt>
                <c:pt idx="20">
                  <c:v>11.38</c:v>
                </c:pt>
                <c:pt idx="21">
                  <c:v>11.25</c:v>
                </c:pt>
                <c:pt idx="22">
                  <c:v>10.95</c:v>
                </c:pt>
                <c:pt idx="23">
                  <c:v>11.36</c:v>
                </c:pt>
                <c:pt idx="24">
                  <c:v>11.27</c:v>
                </c:pt>
                <c:pt idx="25">
                  <c:v>11.41</c:v>
                </c:pt>
                <c:pt idx="26">
                  <c:v>11.36</c:v>
                </c:pt>
                <c:pt idx="27">
                  <c:v>11.54</c:v>
                </c:pt>
                <c:pt idx="28">
                  <c:v>12.55</c:v>
                </c:pt>
                <c:pt idx="29">
                  <c:v>12.2</c:v>
                </c:pt>
                <c:pt idx="30">
                  <c:v>12.4</c:v>
                </c:pt>
                <c:pt idx="31">
                  <c:v>12.36</c:v>
                </c:pt>
                <c:pt idx="32">
                  <c:v>12.76</c:v>
                </c:pt>
                <c:pt idx="33">
                  <c:v>12.99</c:v>
                </c:pt>
                <c:pt idx="34">
                  <c:v>13.06</c:v>
                </c:pt>
                <c:pt idx="35">
                  <c:v>13.08</c:v>
                </c:pt>
                <c:pt idx="36">
                  <c:v>12.74</c:v>
                </c:pt>
                <c:pt idx="37">
                  <c:v>12.3</c:v>
                </c:pt>
                <c:pt idx="38">
                  <c:v>12.32</c:v>
                </c:pt>
                <c:pt idx="39">
                  <c:v>12.36</c:v>
                </c:pt>
                <c:pt idx="40">
                  <c:v>12.37</c:v>
                </c:pt>
                <c:pt idx="41">
                  <c:v>12.43</c:v>
                </c:pt>
                <c:pt idx="42">
                  <c:v>12.5</c:v>
                </c:pt>
                <c:pt idx="43">
                  <c:v>12.91</c:v>
                </c:pt>
                <c:pt idx="44">
                  <c:v>12.79</c:v>
                </c:pt>
                <c:pt idx="45">
                  <c:v>12.75</c:v>
                </c:pt>
                <c:pt idx="46">
                  <c:v>12.69</c:v>
                </c:pt>
                <c:pt idx="47">
                  <c:v>12.59</c:v>
                </c:pt>
                <c:pt idx="48">
                  <c:v>12.11</c:v>
                </c:pt>
                <c:pt idx="49">
                  <c:v>12.1</c:v>
                </c:pt>
                <c:pt idx="50">
                  <c:v>12.38</c:v>
                </c:pt>
                <c:pt idx="51">
                  <c:v>12.22</c:v>
                </c:pt>
                <c:pt idx="52">
                  <c:v>12.82</c:v>
                </c:pt>
                <c:pt idx="53">
                  <c:v>13.18</c:v>
                </c:pt>
                <c:pt idx="54">
                  <c:v>13.36</c:v>
                </c:pt>
                <c:pt idx="55">
                  <c:v>13.44</c:v>
                </c:pt>
                <c:pt idx="56">
                  <c:v>13.86</c:v>
                </c:pt>
                <c:pt idx="57">
                  <c:v>13.96</c:v>
                </c:pt>
                <c:pt idx="58">
                  <c:v>13.81</c:v>
                </c:pt>
                <c:pt idx="59">
                  <c:v>13.73</c:v>
                </c:pt>
                <c:pt idx="60">
                  <c:v>13.54</c:v>
                </c:pt>
                <c:pt idx="61">
                  <c:v>13.42</c:v>
                </c:pt>
                <c:pt idx="62">
                  <c:v>13.69</c:v>
                </c:pt>
                <c:pt idx="63">
                  <c:v>14.58</c:v>
                </c:pt>
                <c:pt idx="64">
                  <c:v>14.35</c:v>
                </c:pt>
                <c:pt idx="65">
                  <c:v>14.34</c:v>
                </c:pt>
                <c:pt idx="66">
                  <c:v>14.73</c:v>
                </c:pt>
                <c:pt idx="67">
                  <c:v>14.15</c:v>
                </c:pt>
                <c:pt idx="68">
                  <c:v>14.07</c:v>
                </c:pt>
                <c:pt idx="69">
                  <c:v>14.44</c:v>
                </c:pt>
                <c:pt idx="70">
                  <c:v>14.13</c:v>
                </c:pt>
                <c:pt idx="71">
                  <c:v>13.79</c:v>
                </c:pt>
                <c:pt idx="72">
                  <c:v>14.1</c:v>
                </c:pt>
                <c:pt idx="73">
                  <c:v>13.85</c:v>
                </c:pt>
                <c:pt idx="74">
                  <c:v>12.87</c:v>
                </c:pt>
                <c:pt idx="75">
                  <c:v>12.95</c:v>
                </c:pt>
                <c:pt idx="76">
                  <c:v>12.6</c:v>
                </c:pt>
                <c:pt idx="77">
                  <c:v>12.16</c:v>
                </c:pt>
                <c:pt idx="78">
                  <c:v>12.68</c:v>
                </c:pt>
                <c:pt idx="79">
                  <c:v>12.3</c:v>
                </c:pt>
                <c:pt idx="80">
                  <c:v>12.49</c:v>
                </c:pt>
                <c:pt idx="81">
                  <c:v>12.92</c:v>
                </c:pt>
                <c:pt idx="82">
                  <c:v>12.85</c:v>
                </c:pt>
                <c:pt idx="83">
                  <c:v>12.44</c:v>
                </c:pt>
                <c:pt idx="84">
                  <c:v>12.38</c:v>
                </c:pt>
                <c:pt idx="85">
                  <c:v>12.56</c:v>
                </c:pt>
                <c:pt idx="86">
                  <c:v>12.4</c:v>
                </c:pt>
                <c:pt idx="87">
                  <c:v>12.29</c:v>
                </c:pt>
                <c:pt idx="88">
                  <c:v>12.35</c:v>
                </c:pt>
                <c:pt idx="89">
                  <c:v>12.37</c:v>
                </c:pt>
                <c:pt idx="90">
                  <c:v>12.49</c:v>
                </c:pt>
                <c:pt idx="91">
                  <c:v>12.4</c:v>
                </c:pt>
                <c:pt idx="92">
                  <c:v>12.22</c:v>
                </c:pt>
                <c:pt idx="93">
                  <c:v>12.18</c:v>
                </c:pt>
                <c:pt idx="94">
                  <c:v>11.9</c:v>
                </c:pt>
                <c:pt idx="95">
                  <c:v>11.85</c:v>
                </c:pt>
                <c:pt idx="96">
                  <c:v>11.97</c:v>
                </c:pt>
                <c:pt idx="97">
                  <c:v>11.92</c:v>
                </c:pt>
                <c:pt idx="98">
                  <c:v>12.34</c:v>
                </c:pt>
                <c:pt idx="99">
                  <c:v>12.65</c:v>
                </c:pt>
                <c:pt idx="100">
                  <c:v>12.57</c:v>
                </c:pt>
                <c:pt idx="101">
                  <c:v>12.59</c:v>
                </c:pt>
                <c:pt idx="102">
                  <c:v>12.49</c:v>
                </c:pt>
                <c:pt idx="103">
                  <c:v>12.67</c:v>
                </c:pt>
                <c:pt idx="104">
                  <c:v>12.8</c:v>
                </c:pt>
                <c:pt idx="105">
                  <c:v>13.07</c:v>
                </c:pt>
                <c:pt idx="106">
                  <c:v>13.8</c:v>
                </c:pt>
                <c:pt idx="107">
                  <c:v>13.64</c:v>
                </c:pt>
                <c:pt idx="108">
                  <c:v>13.69</c:v>
                </c:pt>
                <c:pt idx="109">
                  <c:v>13.43</c:v>
                </c:pt>
                <c:pt idx="110">
                  <c:v>13.52</c:v>
                </c:pt>
                <c:pt idx="111">
                  <c:v>13.86</c:v>
                </c:pt>
                <c:pt idx="112">
                  <c:v>13.93</c:v>
                </c:pt>
                <c:pt idx="113">
                  <c:v>14.08</c:v>
                </c:pt>
                <c:pt idx="114">
                  <c:v>14.33</c:v>
                </c:pt>
                <c:pt idx="115">
                  <c:v>14.16</c:v>
                </c:pt>
                <c:pt idx="116">
                  <c:v>14.14</c:v>
                </c:pt>
                <c:pt idx="117">
                  <c:v>14.07</c:v>
                </c:pt>
                <c:pt idx="118">
                  <c:v>13.74</c:v>
                </c:pt>
                <c:pt idx="119">
                  <c:v>13.74</c:v>
                </c:pt>
                <c:pt idx="120">
                  <c:v>13.71</c:v>
                </c:pt>
                <c:pt idx="121">
                  <c:v>13.69</c:v>
                </c:pt>
                <c:pt idx="122">
                  <c:v>14.27</c:v>
                </c:pt>
                <c:pt idx="123">
                  <c:v>14.15</c:v>
                </c:pt>
                <c:pt idx="124">
                  <c:v>13.9</c:v>
                </c:pt>
                <c:pt idx="125">
                  <c:v>13.84</c:v>
                </c:pt>
                <c:pt idx="126">
                  <c:v>13.82</c:v>
                </c:pt>
                <c:pt idx="127">
                  <c:v>14.14</c:v>
                </c:pt>
                <c:pt idx="128">
                  <c:v>14</c:v>
                </c:pt>
                <c:pt idx="129">
                  <c:v>13.91</c:v>
                </c:pt>
                <c:pt idx="130">
                  <c:v>14.03</c:v>
                </c:pt>
                <c:pt idx="131">
                  <c:v>14.35</c:v>
                </c:pt>
                <c:pt idx="132">
                  <c:v>14.38</c:v>
                </c:pt>
                <c:pt idx="133">
                  <c:v>14.44</c:v>
                </c:pt>
                <c:pt idx="134">
                  <c:v>14.52</c:v>
                </c:pt>
                <c:pt idx="135">
                  <c:v>14.28</c:v>
                </c:pt>
                <c:pt idx="136">
                  <c:v>14.25</c:v>
                </c:pt>
                <c:pt idx="137">
                  <c:v>13.89</c:v>
                </c:pt>
                <c:pt idx="138">
                  <c:v>13.5</c:v>
                </c:pt>
                <c:pt idx="139">
                  <c:v>13.52</c:v>
                </c:pt>
                <c:pt idx="140">
                  <c:v>13.69</c:v>
                </c:pt>
                <c:pt idx="141">
                  <c:v>14.53</c:v>
                </c:pt>
                <c:pt idx="142">
                  <c:v>14.67</c:v>
                </c:pt>
                <c:pt idx="143">
                  <c:v>15.27</c:v>
                </c:pt>
                <c:pt idx="144">
                  <c:v>15.04</c:v>
                </c:pt>
                <c:pt idx="145">
                  <c:v>15.12</c:v>
                </c:pt>
                <c:pt idx="146">
                  <c:v>15.09</c:v>
                </c:pt>
                <c:pt idx="147">
                  <c:v>15.05</c:v>
                </c:pt>
                <c:pt idx="148">
                  <c:v>15.07</c:v>
                </c:pt>
                <c:pt idx="149">
                  <c:v>15.14</c:v>
                </c:pt>
                <c:pt idx="150">
                  <c:v>14.6</c:v>
                </c:pt>
                <c:pt idx="151">
                  <c:v>14.46</c:v>
                </c:pt>
                <c:pt idx="152">
                  <c:v>14.8</c:v>
                </c:pt>
                <c:pt idx="153">
                  <c:v>14.4</c:v>
                </c:pt>
                <c:pt idx="154">
                  <c:v>14.46</c:v>
                </c:pt>
                <c:pt idx="155">
                  <c:v>14.42</c:v>
                </c:pt>
                <c:pt idx="156">
                  <c:v>14.28</c:v>
                </c:pt>
                <c:pt idx="157">
                  <c:v>14.31</c:v>
                </c:pt>
                <c:pt idx="158">
                  <c:v>14.6</c:v>
                </c:pt>
                <c:pt idx="159">
                  <c:v>14.45</c:v>
                </c:pt>
                <c:pt idx="160">
                  <c:v>14.59</c:v>
                </c:pt>
                <c:pt idx="161">
                  <c:v>14.73</c:v>
                </c:pt>
                <c:pt idx="162">
                  <c:v>14.96</c:v>
                </c:pt>
                <c:pt idx="163">
                  <c:v>14.84</c:v>
                </c:pt>
                <c:pt idx="164">
                  <c:v>14.7</c:v>
                </c:pt>
                <c:pt idx="165">
                  <c:v>14.71</c:v>
                </c:pt>
                <c:pt idx="166">
                  <c:v>14.83</c:v>
                </c:pt>
                <c:pt idx="167">
                  <c:v>14.6</c:v>
                </c:pt>
                <c:pt idx="168">
                  <c:v>14.39</c:v>
                </c:pt>
                <c:pt idx="169">
                  <c:v>14.56</c:v>
                </c:pt>
                <c:pt idx="170">
                  <c:v>14.99</c:v>
                </c:pt>
                <c:pt idx="171">
                  <c:v>15.49</c:v>
                </c:pt>
                <c:pt idx="172">
                  <c:v>15.53</c:v>
                </c:pt>
                <c:pt idx="173">
                  <c:v>15.33</c:v>
                </c:pt>
                <c:pt idx="174">
                  <c:v>15.9</c:v>
                </c:pt>
                <c:pt idx="175">
                  <c:v>15.86</c:v>
                </c:pt>
                <c:pt idx="176">
                  <c:v>16.05</c:v>
                </c:pt>
                <c:pt idx="177">
                  <c:v>15.74</c:v>
                </c:pt>
                <c:pt idx="178">
                  <c:v>16.350000000000001</c:v>
                </c:pt>
                <c:pt idx="179">
                  <c:v>16.399999999999999</c:v>
                </c:pt>
                <c:pt idx="180">
                  <c:v>16.39</c:v>
                </c:pt>
                <c:pt idx="181">
                  <c:v>16.96</c:v>
                </c:pt>
                <c:pt idx="182">
                  <c:v>17.37</c:v>
                </c:pt>
                <c:pt idx="183">
                  <c:v>17.329999999999998</c:v>
                </c:pt>
                <c:pt idx="184">
                  <c:v>16.940000000000001</c:v>
                </c:pt>
                <c:pt idx="185">
                  <c:v>16.850000000000001</c:v>
                </c:pt>
                <c:pt idx="186">
                  <c:v>16.66</c:v>
                </c:pt>
                <c:pt idx="187">
                  <c:v>17.04</c:v>
                </c:pt>
                <c:pt idx="188">
                  <c:v>16.57</c:v>
                </c:pt>
                <c:pt idx="189">
                  <c:v>16.600000000000001</c:v>
                </c:pt>
                <c:pt idx="190">
                  <c:v>17.02</c:v>
                </c:pt>
                <c:pt idx="191">
                  <c:v>17.03</c:v>
                </c:pt>
                <c:pt idx="192">
                  <c:v>16.809999999999999</c:v>
                </c:pt>
                <c:pt idx="193">
                  <c:v>17.059999999999999</c:v>
                </c:pt>
                <c:pt idx="194">
                  <c:v>16.579999999999998</c:v>
                </c:pt>
                <c:pt idx="195">
                  <c:v>16.41</c:v>
                </c:pt>
                <c:pt idx="196">
                  <c:v>17.010000000000002</c:v>
                </c:pt>
                <c:pt idx="197">
                  <c:v>17.07</c:v>
                </c:pt>
                <c:pt idx="198">
                  <c:v>17.3</c:v>
                </c:pt>
                <c:pt idx="199">
                  <c:v>17.11</c:v>
                </c:pt>
                <c:pt idx="200">
                  <c:v>17.04</c:v>
                </c:pt>
                <c:pt idx="201">
                  <c:v>16.8</c:v>
                </c:pt>
                <c:pt idx="202">
                  <c:v>16.43</c:v>
                </c:pt>
                <c:pt idx="203">
                  <c:v>16.48</c:v>
                </c:pt>
                <c:pt idx="204">
                  <c:v>16.48</c:v>
                </c:pt>
                <c:pt idx="205">
                  <c:v>16.47</c:v>
                </c:pt>
                <c:pt idx="206">
                  <c:v>16.489999999999998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F-43FD-91D1-3A3068A6D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721344"/>
        <c:axId val="284744448"/>
      </c:lineChart>
      <c:lineChart>
        <c:grouping val="standard"/>
        <c:varyColors val="0"/>
        <c:ser>
          <c:idx val="1"/>
          <c:order val="1"/>
          <c:tx>
            <c:v>Money Flow Index</c:v>
          </c:tx>
          <c:spPr>
            <a:ln w="12700"/>
          </c:spPr>
          <c:marker>
            <c:symbol val="none"/>
          </c:marker>
          <c:cat>
            <c:numRef>
              <c:f>数据Data!$A$2:$A$252</c:f>
              <c:numCache>
                <c:formatCode>m/d/yyyy</c:formatCode>
                <c:ptCount val="246"/>
                <c:pt idx="0">
                  <c:v>43467</c:v>
                </c:pt>
                <c:pt idx="1">
                  <c:v>43468</c:v>
                </c:pt>
                <c:pt idx="2">
                  <c:v>43476</c:v>
                </c:pt>
                <c:pt idx="3">
                  <c:v>43479</c:v>
                </c:pt>
                <c:pt idx="4">
                  <c:v>43480</c:v>
                </c:pt>
                <c:pt idx="5">
                  <c:v>43481</c:v>
                </c:pt>
                <c:pt idx="6">
                  <c:v>43482</c:v>
                </c:pt>
                <c:pt idx="7">
                  <c:v>43483</c:v>
                </c:pt>
                <c:pt idx="8">
                  <c:v>43486</c:v>
                </c:pt>
                <c:pt idx="9">
                  <c:v>43487</c:v>
                </c:pt>
                <c:pt idx="10">
                  <c:v>43488</c:v>
                </c:pt>
                <c:pt idx="11">
                  <c:v>43489</c:v>
                </c:pt>
                <c:pt idx="12">
                  <c:v>43490</c:v>
                </c:pt>
                <c:pt idx="13">
                  <c:v>43493</c:v>
                </c:pt>
                <c:pt idx="14">
                  <c:v>43494</c:v>
                </c:pt>
                <c:pt idx="15">
                  <c:v>43495</c:v>
                </c:pt>
                <c:pt idx="16">
                  <c:v>43496</c:v>
                </c:pt>
                <c:pt idx="17">
                  <c:v>43497</c:v>
                </c:pt>
                <c:pt idx="18">
                  <c:v>43507</c:v>
                </c:pt>
                <c:pt idx="19">
                  <c:v>43508</c:v>
                </c:pt>
                <c:pt idx="20">
                  <c:v>43509</c:v>
                </c:pt>
                <c:pt idx="21">
                  <c:v>43510</c:v>
                </c:pt>
                <c:pt idx="22">
                  <c:v>43511</c:v>
                </c:pt>
                <c:pt idx="23">
                  <c:v>43514</c:v>
                </c:pt>
                <c:pt idx="24">
                  <c:v>43515</c:v>
                </c:pt>
                <c:pt idx="25">
                  <c:v>43516</c:v>
                </c:pt>
                <c:pt idx="26">
                  <c:v>43517</c:v>
                </c:pt>
                <c:pt idx="27">
                  <c:v>43518</c:v>
                </c:pt>
                <c:pt idx="28">
                  <c:v>43521</c:v>
                </c:pt>
                <c:pt idx="29">
                  <c:v>43522</c:v>
                </c:pt>
                <c:pt idx="30">
                  <c:v>43523</c:v>
                </c:pt>
                <c:pt idx="31">
                  <c:v>43524</c:v>
                </c:pt>
                <c:pt idx="32">
                  <c:v>43525</c:v>
                </c:pt>
                <c:pt idx="33">
                  <c:v>43528</c:v>
                </c:pt>
                <c:pt idx="34">
                  <c:v>43529</c:v>
                </c:pt>
                <c:pt idx="35">
                  <c:v>43530</c:v>
                </c:pt>
                <c:pt idx="36">
                  <c:v>43531</c:v>
                </c:pt>
                <c:pt idx="37">
                  <c:v>43532</c:v>
                </c:pt>
                <c:pt idx="38">
                  <c:v>43535</c:v>
                </c:pt>
                <c:pt idx="39">
                  <c:v>43536</c:v>
                </c:pt>
                <c:pt idx="40">
                  <c:v>43537</c:v>
                </c:pt>
                <c:pt idx="41">
                  <c:v>43538</c:v>
                </c:pt>
                <c:pt idx="42">
                  <c:v>43539</c:v>
                </c:pt>
                <c:pt idx="43">
                  <c:v>43542</c:v>
                </c:pt>
                <c:pt idx="44">
                  <c:v>43543</c:v>
                </c:pt>
                <c:pt idx="45">
                  <c:v>43544</c:v>
                </c:pt>
                <c:pt idx="46">
                  <c:v>43545</c:v>
                </c:pt>
                <c:pt idx="47">
                  <c:v>43546</c:v>
                </c:pt>
                <c:pt idx="48">
                  <c:v>43549</c:v>
                </c:pt>
                <c:pt idx="49">
                  <c:v>43550</c:v>
                </c:pt>
                <c:pt idx="50">
                  <c:v>43551</c:v>
                </c:pt>
                <c:pt idx="51">
                  <c:v>43552</c:v>
                </c:pt>
                <c:pt idx="52">
                  <c:v>43553</c:v>
                </c:pt>
                <c:pt idx="53">
                  <c:v>43556</c:v>
                </c:pt>
                <c:pt idx="54">
                  <c:v>43557</c:v>
                </c:pt>
                <c:pt idx="55">
                  <c:v>43558</c:v>
                </c:pt>
                <c:pt idx="56">
                  <c:v>43559</c:v>
                </c:pt>
                <c:pt idx="57">
                  <c:v>43563</c:v>
                </c:pt>
                <c:pt idx="58">
                  <c:v>43564</c:v>
                </c:pt>
                <c:pt idx="59">
                  <c:v>43565</c:v>
                </c:pt>
                <c:pt idx="60">
                  <c:v>43566</c:v>
                </c:pt>
                <c:pt idx="61">
                  <c:v>43567</c:v>
                </c:pt>
                <c:pt idx="62">
                  <c:v>43570</c:v>
                </c:pt>
                <c:pt idx="63">
                  <c:v>43571</c:v>
                </c:pt>
                <c:pt idx="64">
                  <c:v>43572</c:v>
                </c:pt>
                <c:pt idx="65">
                  <c:v>43573</c:v>
                </c:pt>
                <c:pt idx="66">
                  <c:v>43574</c:v>
                </c:pt>
                <c:pt idx="67">
                  <c:v>43577</c:v>
                </c:pt>
                <c:pt idx="68">
                  <c:v>43578</c:v>
                </c:pt>
                <c:pt idx="69">
                  <c:v>43579</c:v>
                </c:pt>
                <c:pt idx="70">
                  <c:v>43580</c:v>
                </c:pt>
                <c:pt idx="71">
                  <c:v>43581</c:v>
                </c:pt>
                <c:pt idx="72">
                  <c:v>43584</c:v>
                </c:pt>
                <c:pt idx="73">
                  <c:v>43585</c:v>
                </c:pt>
                <c:pt idx="74">
                  <c:v>43591</c:v>
                </c:pt>
                <c:pt idx="75">
                  <c:v>43592</c:v>
                </c:pt>
                <c:pt idx="76">
                  <c:v>43593</c:v>
                </c:pt>
                <c:pt idx="77">
                  <c:v>43594</c:v>
                </c:pt>
                <c:pt idx="78">
                  <c:v>43595</c:v>
                </c:pt>
                <c:pt idx="79">
                  <c:v>43598</c:v>
                </c:pt>
                <c:pt idx="80">
                  <c:v>43599</c:v>
                </c:pt>
                <c:pt idx="81">
                  <c:v>43600</c:v>
                </c:pt>
                <c:pt idx="82">
                  <c:v>43601</c:v>
                </c:pt>
                <c:pt idx="83">
                  <c:v>43602</c:v>
                </c:pt>
                <c:pt idx="84">
                  <c:v>43605</c:v>
                </c:pt>
                <c:pt idx="85">
                  <c:v>43606</c:v>
                </c:pt>
                <c:pt idx="86">
                  <c:v>43607</c:v>
                </c:pt>
                <c:pt idx="87">
                  <c:v>43608</c:v>
                </c:pt>
                <c:pt idx="88">
                  <c:v>43609</c:v>
                </c:pt>
                <c:pt idx="89">
                  <c:v>43612</c:v>
                </c:pt>
                <c:pt idx="90">
                  <c:v>43613</c:v>
                </c:pt>
                <c:pt idx="91">
                  <c:v>43614</c:v>
                </c:pt>
                <c:pt idx="92">
                  <c:v>43615</c:v>
                </c:pt>
                <c:pt idx="93">
                  <c:v>43616</c:v>
                </c:pt>
                <c:pt idx="94">
                  <c:v>43619</c:v>
                </c:pt>
                <c:pt idx="95">
                  <c:v>43620</c:v>
                </c:pt>
                <c:pt idx="96">
                  <c:v>43621</c:v>
                </c:pt>
                <c:pt idx="97">
                  <c:v>43622</c:v>
                </c:pt>
                <c:pt idx="98">
                  <c:v>43626</c:v>
                </c:pt>
                <c:pt idx="99">
                  <c:v>43627</c:v>
                </c:pt>
                <c:pt idx="100">
                  <c:v>43628</c:v>
                </c:pt>
                <c:pt idx="101">
                  <c:v>43629</c:v>
                </c:pt>
                <c:pt idx="102">
                  <c:v>43630</c:v>
                </c:pt>
                <c:pt idx="103">
                  <c:v>43633</c:v>
                </c:pt>
                <c:pt idx="104">
                  <c:v>43634</c:v>
                </c:pt>
                <c:pt idx="105">
                  <c:v>43635</c:v>
                </c:pt>
                <c:pt idx="106">
                  <c:v>43636</c:v>
                </c:pt>
                <c:pt idx="107">
                  <c:v>43637</c:v>
                </c:pt>
                <c:pt idx="108">
                  <c:v>43640</c:v>
                </c:pt>
                <c:pt idx="109">
                  <c:v>43641</c:v>
                </c:pt>
                <c:pt idx="110">
                  <c:v>43642</c:v>
                </c:pt>
                <c:pt idx="111">
                  <c:v>43643</c:v>
                </c:pt>
                <c:pt idx="112">
                  <c:v>43644</c:v>
                </c:pt>
                <c:pt idx="113">
                  <c:v>43647</c:v>
                </c:pt>
                <c:pt idx="114">
                  <c:v>43648</c:v>
                </c:pt>
                <c:pt idx="115">
                  <c:v>43649</c:v>
                </c:pt>
                <c:pt idx="116">
                  <c:v>43650</c:v>
                </c:pt>
                <c:pt idx="117">
                  <c:v>43651</c:v>
                </c:pt>
                <c:pt idx="118">
                  <c:v>43654</c:v>
                </c:pt>
                <c:pt idx="119">
                  <c:v>43655</c:v>
                </c:pt>
                <c:pt idx="120">
                  <c:v>43656</c:v>
                </c:pt>
                <c:pt idx="121">
                  <c:v>43657</c:v>
                </c:pt>
                <c:pt idx="122">
                  <c:v>43658</c:v>
                </c:pt>
                <c:pt idx="123">
                  <c:v>43661</c:v>
                </c:pt>
                <c:pt idx="124">
                  <c:v>43662</c:v>
                </c:pt>
                <c:pt idx="125">
                  <c:v>43663</c:v>
                </c:pt>
                <c:pt idx="126">
                  <c:v>43664</c:v>
                </c:pt>
                <c:pt idx="127">
                  <c:v>43665</c:v>
                </c:pt>
                <c:pt idx="128">
                  <c:v>43668</c:v>
                </c:pt>
                <c:pt idx="129">
                  <c:v>43669</c:v>
                </c:pt>
                <c:pt idx="130">
                  <c:v>43670</c:v>
                </c:pt>
                <c:pt idx="131">
                  <c:v>43671</c:v>
                </c:pt>
                <c:pt idx="132">
                  <c:v>43672</c:v>
                </c:pt>
                <c:pt idx="133">
                  <c:v>43675</c:v>
                </c:pt>
                <c:pt idx="134">
                  <c:v>43676</c:v>
                </c:pt>
                <c:pt idx="135">
                  <c:v>43677</c:v>
                </c:pt>
                <c:pt idx="136">
                  <c:v>43678</c:v>
                </c:pt>
                <c:pt idx="137">
                  <c:v>43679</c:v>
                </c:pt>
                <c:pt idx="138">
                  <c:v>43682</c:v>
                </c:pt>
                <c:pt idx="139">
                  <c:v>43683</c:v>
                </c:pt>
                <c:pt idx="140">
                  <c:v>43684</c:v>
                </c:pt>
                <c:pt idx="141">
                  <c:v>43685</c:v>
                </c:pt>
                <c:pt idx="142">
                  <c:v>43686</c:v>
                </c:pt>
                <c:pt idx="143">
                  <c:v>43689</c:v>
                </c:pt>
                <c:pt idx="144">
                  <c:v>43690</c:v>
                </c:pt>
                <c:pt idx="145">
                  <c:v>43691</c:v>
                </c:pt>
                <c:pt idx="146">
                  <c:v>43692</c:v>
                </c:pt>
                <c:pt idx="147">
                  <c:v>43693</c:v>
                </c:pt>
                <c:pt idx="148">
                  <c:v>43696</c:v>
                </c:pt>
                <c:pt idx="149">
                  <c:v>43697</c:v>
                </c:pt>
                <c:pt idx="150">
                  <c:v>43698</c:v>
                </c:pt>
                <c:pt idx="151">
                  <c:v>43699</c:v>
                </c:pt>
                <c:pt idx="152">
                  <c:v>43700</c:v>
                </c:pt>
                <c:pt idx="153">
                  <c:v>43703</c:v>
                </c:pt>
                <c:pt idx="154">
                  <c:v>43704</c:v>
                </c:pt>
                <c:pt idx="155">
                  <c:v>43705</c:v>
                </c:pt>
                <c:pt idx="156">
                  <c:v>43706</c:v>
                </c:pt>
                <c:pt idx="157">
                  <c:v>43707</c:v>
                </c:pt>
                <c:pt idx="158">
                  <c:v>43710</c:v>
                </c:pt>
                <c:pt idx="159">
                  <c:v>43711</c:v>
                </c:pt>
                <c:pt idx="160">
                  <c:v>43712</c:v>
                </c:pt>
                <c:pt idx="161">
                  <c:v>43713</c:v>
                </c:pt>
                <c:pt idx="162">
                  <c:v>43714</c:v>
                </c:pt>
                <c:pt idx="163">
                  <c:v>43717</c:v>
                </c:pt>
                <c:pt idx="164">
                  <c:v>43718</c:v>
                </c:pt>
                <c:pt idx="165">
                  <c:v>43719</c:v>
                </c:pt>
                <c:pt idx="166">
                  <c:v>43720</c:v>
                </c:pt>
                <c:pt idx="167">
                  <c:v>43724</c:v>
                </c:pt>
                <c:pt idx="168">
                  <c:v>43725</c:v>
                </c:pt>
                <c:pt idx="169">
                  <c:v>43726</c:v>
                </c:pt>
                <c:pt idx="170">
                  <c:v>43727</c:v>
                </c:pt>
                <c:pt idx="171">
                  <c:v>43728</c:v>
                </c:pt>
                <c:pt idx="172">
                  <c:v>43731</c:v>
                </c:pt>
                <c:pt idx="173">
                  <c:v>43732</c:v>
                </c:pt>
                <c:pt idx="174">
                  <c:v>43733</c:v>
                </c:pt>
                <c:pt idx="175">
                  <c:v>43734</c:v>
                </c:pt>
                <c:pt idx="176">
                  <c:v>43735</c:v>
                </c:pt>
                <c:pt idx="177">
                  <c:v>43738</c:v>
                </c:pt>
                <c:pt idx="178">
                  <c:v>43746</c:v>
                </c:pt>
                <c:pt idx="179">
                  <c:v>43747</c:v>
                </c:pt>
                <c:pt idx="180">
                  <c:v>43748</c:v>
                </c:pt>
                <c:pt idx="181">
                  <c:v>43749</c:v>
                </c:pt>
                <c:pt idx="182">
                  <c:v>43752</c:v>
                </c:pt>
                <c:pt idx="183">
                  <c:v>43753</c:v>
                </c:pt>
                <c:pt idx="184">
                  <c:v>43754</c:v>
                </c:pt>
                <c:pt idx="185">
                  <c:v>43755</c:v>
                </c:pt>
                <c:pt idx="186">
                  <c:v>43756</c:v>
                </c:pt>
                <c:pt idx="187">
                  <c:v>43759</c:v>
                </c:pt>
                <c:pt idx="188">
                  <c:v>43760</c:v>
                </c:pt>
                <c:pt idx="189">
                  <c:v>43761</c:v>
                </c:pt>
                <c:pt idx="190">
                  <c:v>43762</c:v>
                </c:pt>
                <c:pt idx="191">
                  <c:v>43763</c:v>
                </c:pt>
                <c:pt idx="192">
                  <c:v>43766</c:v>
                </c:pt>
                <c:pt idx="193">
                  <c:v>43767</c:v>
                </c:pt>
                <c:pt idx="194">
                  <c:v>43768</c:v>
                </c:pt>
                <c:pt idx="195">
                  <c:v>43769</c:v>
                </c:pt>
                <c:pt idx="196">
                  <c:v>43770</c:v>
                </c:pt>
                <c:pt idx="197">
                  <c:v>43773</c:v>
                </c:pt>
                <c:pt idx="198">
                  <c:v>43774</c:v>
                </c:pt>
                <c:pt idx="199">
                  <c:v>43775</c:v>
                </c:pt>
                <c:pt idx="200">
                  <c:v>43776</c:v>
                </c:pt>
                <c:pt idx="201">
                  <c:v>43777</c:v>
                </c:pt>
                <c:pt idx="202">
                  <c:v>43780</c:v>
                </c:pt>
                <c:pt idx="203">
                  <c:v>43781</c:v>
                </c:pt>
                <c:pt idx="204">
                  <c:v>43782</c:v>
                </c:pt>
                <c:pt idx="205">
                  <c:v>43783</c:v>
                </c:pt>
                <c:pt idx="206">
                  <c:v>43784</c:v>
                </c:pt>
              </c:numCache>
            </c:numRef>
          </c:cat>
          <c:val>
            <c:numRef>
              <c:f>数据Data!$N$2:$N$252</c:f>
              <c:numCache>
                <c:formatCode>_(* #,##0.00_);_(* \(#,##0.00\);_(* "-"??_);_(@_)</c:formatCode>
                <c:ptCount val="246"/>
                <c:pt idx="8">
                  <c:v>72.562637545451821</c:v>
                </c:pt>
                <c:pt idx="9">
                  <c:v>69.651866280946024</c:v>
                </c:pt>
                <c:pt idx="10">
                  <c:v>73.589974583050093</c:v>
                </c:pt>
                <c:pt idx="11">
                  <c:v>71.786245557677333</c:v>
                </c:pt>
                <c:pt idx="12">
                  <c:v>75.235768821962793</c:v>
                </c:pt>
                <c:pt idx="13">
                  <c:v>79.80207304107843</c:v>
                </c:pt>
                <c:pt idx="14">
                  <c:v>71.904369385853499</c:v>
                </c:pt>
                <c:pt idx="15">
                  <c:v>71.213190504075286</c:v>
                </c:pt>
                <c:pt idx="16">
                  <c:v>71.719018846001063</c:v>
                </c:pt>
                <c:pt idx="17">
                  <c:v>77.05473604001763</c:v>
                </c:pt>
                <c:pt idx="18">
                  <c:v>70.859132480908841</c:v>
                </c:pt>
                <c:pt idx="19">
                  <c:v>70.982173976146584</c:v>
                </c:pt>
                <c:pt idx="20">
                  <c:v>78.496604830089325</c:v>
                </c:pt>
                <c:pt idx="21">
                  <c:v>71.728544971247644</c:v>
                </c:pt>
                <c:pt idx="22">
                  <c:v>69.078975519398995</c:v>
                </c:pt>
                <c:pt idx="23">
                  <c:v>73.915598195401088</c:v>
                </c:pt>
                <c:pt idx="24">
                  <c:v>75.347237611847333</c:v>
                </c:pt>
                <c:pt idx="25">
                  <c:v>75.703233965111679</c:v>
                </c:pt>
                <c:pt idx="26">
                  <c:v>71.764084577851335</c:v>
                </c:pt>
                <c:pt idx="27">
                  <c:v>72.185546064022574</c:v>
                </c:pt>
                <c:pt idx="28">
                  <c:v>81.748860381213234</c:v>
                </c:pt>
                <c:pt idx="29">
                  <c:v>83.417137781537534</c:v>
                </c:pt>
                <c:pt idx="30">
                  <c:v>84.680108799534793</c:v>
                </c:pt>
                <c:pt idx="31">
                  <c:v>84.869638228161335</c:v>
                </c:pt>
                <c:pt idx="32">
                  <c:v>89.875382516648159</c:v>
                </c:pt>
                <c:pt idx="33">
                  <c:v>90.778628854197649</c:v>
                </c:pt>
                <c:pt idx="34">
                  <c:v>90.988792825422038</c:v>
                </c:pt>
                <c:pt idx="35">
                  <c:v>88.641564162466011</c:v>
                </c:pt>
                <c:pt idx="36">
                  <c:v>85.014686721003898</c:v>
                </c:pt>
                <c:pt idx="37">
                  <c:v>77.227681121647976</c:v>
                </c:pt>
                <c:pt idx="38">
                  <c:v>71.900410143998457</c:v>
                </c:pt>
                <c:pt idx="39">
                  <c:v>72.718435114637046</c:v>
                </c:pt>
                <c:pt idx="40">
                  <c:v>68.810368051788316</c:v>
                </c:pt>
                <c:pt idx="41">
                  <c:v>68.771087616693933</c:v>
                </c:pt>
                <c:pt idx="42">
                  <c:v>66.277892162916118</c:v>
                </c:pt>
                <c:pt idx="43">
                  <c:v>65.521819870636932</c:v>
                </c:pt>
                <c:pt idx="44">
                  <c:v>63.834288920196514</c:v>
                </c:pt>
                <c:pt idx="45">
                  <c:v>58.800079614238022</c:v>
                </c:pt>
                <c:pt idx="46">
                  <c:v>52.4001943530237</c:v>
                </c:pt>
                <c:pt idx="47">
                  <c:v>43.183259734401005</c:v>
                </c:pt>
                <c:pt idx="48">
                  <c:v>35.321416751325799</c:v>
                </c:pt>
                <c:pt idx="49">
                  <c:v>36.152461389757605</c:v>
                </c:pt>
                <c:pt idx="50">
                  <c:v>44.073489510078211</c:v>
                </c:pt>
                <c:pt idx="51">
                  <c:v>47.243012131241464</c:v>
                </c:pt>
                <c:pt idx="52">
                  <c:v>56.65348789713417</c:v>
                </c:pt>
                <c:pt idx="53">
                  <c:v>58.452986439721442</c:v>
                </c:pt>
                <c:pt idx="54">
                  <c:v>66.215404825357496</c:v>
                </c:pt>
                <c:pt idx="55">
                  <c:v>60.316950786277019</c:v>
                </c:pt>
                <c:pt idx="56">
                  <c:v>63.149796856858472</c:v>
                </c:pt>
                <c:pt idx="57">
                  <c:v>64.10367172285865</c:v>
                </c:pt>
                <c:pt idx="58">
                  <c:v>58.791449568623563</c:v>
                </c:pt>
                <c:pt idx="59">
                  <c:v>58.492456540309441</c:v>
                </c:pt>
                <c:pt idx="60">
                  <c:v>59.032587829595386</c:v>
                </c:pt>
                <c:pt idx="61">
                  <c:v>58.650362483110683</c:v>
                </c:pt>
                <c:pt idx="62">
                  <c:v>66.452907375033348</c:v>
                </c:pt>
                <c:pt idx="63">
                  <c:v>74.231745431860375</c:v>
                </c:pt>
                <c:pt idx="64">
                  <c:v>74.551976280221595</c:v>
                </c:pt>
                <c:pt idx="65">
                  <c:v>75.072448161531312</c:v>
                </c:pt>
                <c:pt idx="66">
                  <c:v>74.777385010605457</c:v>
                </c:pt>
                <c:pt idx="67">
                  <c:v>65.96695600754822</c:v>
                </c:pt>
                <c:pt idx="68">
                  <c:v>60.078734987258578</c:v>
                </c:pt>
                <c:pt idx="69">
                  <c:v>67.082075898654551</c:v>
                </c:pt>
                <c:pt idx="70">
                  <c:v>58.754814514562256</c:v>
                </c:pt>
                <c:pt idx="71">
                  <c:v>50.719790106241597</c:v>
                </c:pt>
                <c:pt idx="72">
                  <c:v>56.171057109846878</c:v>
                </c:pt>
                <c:pt idx="73">
                  <c:v>55.573465384892664</c:v>
                </c:pt>
                <c:pt idx="74">
                  <c:v>51.528355367602806</c:v>
                </c:pt>
                <c:pt idx="75">
                  <c:v>50.829433045298806</c:v>
                </c:pt>
                <c:pt idx="76">
                  <c:v>44.083489411649857</c:v>
                </c:pt>
                <c:pt idx="77">
                  <c:v>32.33024281689336</c:v>
                </c:pt>
                <c:pt idx="78">
                  <c:v>32.465951069400347</c:v>
                </c:pt>
                <c:pt idx="79">
                  <c:v>32.199464774399004</c:v>
                </c:pt>
                <c:pt idx="80">
                  <c:v>31.18662802062849</c:v>
                </c:pt>
                <c:pt idx="81">
                  <c:v>38.102542978523061</c:v>
                </c:pt>
                <c:pt idx="82">
                  <c:v>42.657353570362275</c:v>
                </c:pt>
                <c:pt idx="83">
                  <c:v>32.325334651500995</c:v>
                </c:pt>
                <c:pt idx="84">
                  <c:v>33.320467523038559</c:v>
                </c:pt>
                <c:pt idx="85">
                  <c:v>38.860752532092143</c:v>
                </c:pt>
                <c:pt idx="86">
                  <c:v>32.792193300728769</c:v>
                </c:pt>
                <c:pt idx="87">
                  <c:v>34.117409894936642</c:v>
                </c:pt>
                <c:pt idx="88">
                  <c:v>42.57187976667948</c:v>
                </c:pt>
                <c:pt idx="89">
                  <c:v>42.849802175406921</c:v>
                </c:pt>
                <c:pt idx="90">
                  <c:v>50.267737715478688</c:v>
                </c:pt>
                <c:pt idx="91">
                  <c:v>54.020911758068465</c:v>
                </c:pt>
                <c:pt idx="92">
                  <c:v>45.950696108272801</c:v>
                </c:pt>
                <c:pt idx="93">
                  <c:v>46.208039199315287</c:v>
                </c:pt>
                <c:pt idx="94">
                  <c:v>34.59268388695186</c:v>
                </c:pt>
                <c:pt idx="95">
                  <c:v>24.96996686118942</c:v>
                </c:pt>
                <c:pt idx="96">
                  <c:v>25.414016291241467</c:v>
                </c:pt>
                <c:pt idx="97">
                  <c:v>26.754557571630201</c:v>
                </c:pt>
                <c:pt idx="98">
                  <c:v>36.228153202172606</c:v>
                </c:pt>
                <c:pt idx="99">
                  <c:v>39.150042674199405</c:v>
                </c:pt>
                <c:pt idx="100">
                  <c:v>40.957589737012512</c:v>
                </c:pt>
                <c:pt idx="101">
                  <c:v>46.365293057432396</c:v>
                </c:pt>
                <c:pt idx="102">
                  <c:v>41.838038279536406</c:v>
                </c:pt>
                <c:pt idx="103">
                  <c:v>49.492922795549944</c:v>
                </c:pt>
                <c:pt idx="104">
                  <c:v>47.5575577761633</c:v>
                </c:pt>
                <c:pt idx="105">
                  <c:v>56.536507434114363</c:v>
                </c:pt>
                <c:pt idx="106">
                  <c:v>65.890398585710159</c:v>
                </c:pt>
                <c:pt idx="107">
                  <c:v>72.727025613603672</c:v>
                </c:pt>
                <c:pt idx="108">
                  <c:v>83.858899519475145</c:v>
                </c:pt>
                <c:pt idx="109">
                  <c:v>79.247522057837216</c:v>
                </c:pt>
                <c:pt idx="110">
                  <c:v>79.020361373967233</c:v>
                </c:pt>
                <c:pt idx="111">
                  <c:v>83.392219867173935</c:v>
                </c:pt>
                <c:pt idx="112">
                  <c:v>82.591888346483188</c:v>
                </c:pt>
                <c:pt idx="113">
                  <c:v>82.338497540169925</c:v>
                </c:pt>
                <c:pt idx="114">
                  <c:v>83.985035259957641</c:v>
                </c:pt>
                <c:pt idx="115">
                  <c:v>77.79081394198424</c:v>
                </c:pt>
                <c:pt idx="116">
                  <c:v>81.767176936917778</c:v>
                </c:pt>
                <c:pt idx="117">
                  <c:v>75.894222081390311</c:v>
                </c:pt>
                <c:pt idx="118">
                  <c:v>70.39230634981854</c:v>
                </c:pt>
                <c:pt idx="119">
                  <c:v>64.859091398401276</c:v>
                </c:pt>
                <c:pt idx="120">
                  <c:v>61.153530717091407</c:v>
                </c:pt>
                <c:pt idx="121">
                  <c:v>59.21195070963428</c:v>
                </c:pt>
                <c:pt idx="122">
                  <c:v>62.272172358196087</c:v>
                </c:pt>
                <c:pt idx="123">
                  <c:v>73.624057279045843</c:v>
                </c:pt>
                <c:pt idx="124">
                  <c:v>67.383833100297295</c:v>
                </c:pt>
                <c:pt idx="125">
                  <c:v>61.798697697876378</c:v>
                </c:pt>
                <c:pt idx="126">
                  <c:v>57.39969329425854</c:v>
                </c:pt>
                <c:pt idx="127">
                  <c:v>56.976094935282759</c:v>
                </c:pt>
                <c:pt idx="128">
                  <c:v>48.682996375036275</c:v>
                </c:pt>
                <c:pt idx="129">
                  <c:v>50.141450285066817</c:v>
                </c:pt>
                <c:pt idx="130">
                  <c:v>49.827401500400299</c:v>
                </c:pt>
                <c:pt idx="131">
                  <c:v>59.523295304616646</c:v>
                </c:pt>
                <c:pt idx="132">
                  <c:v>67.123368154020056</c:v>
                </c:pt>
                <c:pt idx="133">
                  <c:v>72.96782731036194</c:v>
                </c:pt>
                <c:pt idx="134">
                  <c:v>74.231143230778429</c:v>
                </c:pt>
                <c:pt idx="135">
                  <c:v>68.400880027824698</c:v>
                </c:pt>
                <c:pt idx="136">
                  <c:v>59.556405493393925</c:v>
                </c:pt>
                <c:pt idx="137">
                  <c:v>49.945323506512842</c:v>
                </c:pt>
                <c:pt idx="138">
                  <c:v>49.200121464464942</c:v>
                </c:pt>
                <c:pt idx="139">
                  <c:v>47.05742292033424</c:v>
                </c:pt>
                <c:pt idx="140">
                  <c:v>52.839037282266339</c:v>
                </c:pt>
                <c:pt idx="141">
                  <c:v>58.827928517550845</c:v>
                </c:pt>
                <c:pt idx="142">
                  <c:v>67.922446910757543</c:v>
                </c:pt>
                <c:pt idx="143">
                  <c:v>75.933264865278602</c:v>
                </c:pt>
                <c:pt idx="144">
                  <c:v>68.854892842657677</c:v>
                </c:pt>
                <c:pt idx="145">
                  <c:v>69.513171761107458</c:v>
                </c:pt>
                <c:pt idx="146">
                  <c:v>64.576659232515652</c:v>
                </c:pt>
                <c:pt idx="147">
                  <c:v>65.220672226951734</c:v>
                </c:pt>
                <c:pt idx="148">
                  <c:v>55.550801374525363</c:v>
                </c:pt>
                <c:pt idx="149">
                  <c:v>61.690580167396824</c:v>
                </c:pt>
                <c:pt idx="150">
                  <c:v>57.417434578336376</c:v>
                </c:pt>
                <c:pt idx="151">
                  <c:v>56.327463620314731</c:v>
                </c:pt>
                <c:pt idx="152">
                  <c:v>61.544947354023044</c:v>
                </c:pt>
                <c:pt idx="153">
                  <c:v>59.995594468753453</c:v>
                </c:pt>
                <c:pt idx="154">
                  <c:v>61.00407968588005</c:v>
                </c:pt>
                <c:pt idx="155">
                  <c:v>54.809554090505337</c:v>
                </c:pt>
                <c:pt idx="156">
                  <c:v>48.775780717582343</c:v>
                </c:pt>
                <c:pt idx="157">
                  <c:v>43.265227258620143</c:v>
                </c:pt>
                <c:pt idx="158">
                  <c:v>50.342374596935187</c:v>
                </c:pt>
                <c:pt idx="159">
                  <c:v>46.354298750983155</c:v>
                </c:pt>
                <c:pt idx="160">
                  <c:v>51.733803781976384</c:v>
                </c:pt>
                <c:pt idx="161">
                  <c:v>53.762767902949356</c:v>
                </c:pt>
                <c:pt idx="162">
                  <c:v>63.887086659919873</c:v>
                </c:pt>
                <c:pt idx="163">
                  <c:v>62.424696817532308</c:v>
                </c:pt>
                <c:pt idx="164">
                  <c:v>67.37903754586992</c:v>
                </c:pt>
                <c:pt idx="165">
                  <c:v>75.372094262234441</c:v>
                </c:pt>
                <c:pt idx="166">
                  <c:v>74.532196288393422</c:v>
                </c:pt>
                <c:pt idx="167">
                  <c:v>77.062984077126288</c:v>
                </c:pt>
                <c:pt idx="168">
                  <c:v>69.654503112794345</c:v>
                </c:pt>
                <c:pt idx="169">
                  <c:v>75.810185471910074</c:v>
                </c:pt>
                <c:pt idx="170">
                  <c:v>82.100798188187866</c:v>
                </c:pt>
                <c:pt idx="171">
                  <c:v>84.259144862209624</c:v>
                </c:pt>
                <c:pt idx="172">
                  <c:v>84.389074556585882</c:v>
                </c:pt>
                <c:pt idx="173">
                  <c:v>78.75832929874997</c:v>
                </c:pt>
                <c:pt idx="174">
                  <c:v>80.008075712551801</c:v>
                </c:pt>
                <c:pt idx="175">
                  <c:v>80.059897014233485</c:v>
                </c:pt>
                <c:pt idx="176">
                  <c:v>80.162855896212704</c:v>
                </c:pt>
                <c:pt idx="177">
                  <c:v>73.983185743445233</c:v>
                </c:pt>
                <c:pt idx="178">
                  <c:v>79.015910120812222</c:v>
                </c:pt>
                <c:pt idx="179">
                  <c:v>79.690149165428139</c:v>
                </c:pt>
                <c:pt idx="180">
                  <c:v>74.634016504552633</c:v>
                </c:pt>
                <c:pt idx="181">
                  <c:v>79.942444360555953</c:v>
                </c:pt>
                <c:pt idx="182">
                  <c:v>84.839771625194842</c:v>
                </c:pt>
                <c:pt idx="183">
                  <c:v>80.271208642428107</c:v>
                </c:pt>
                <c:pt idx="184">
                  <c:v>73.012156784505947</c:v>
                </c:pt>
                <c:pt idx="185">
                  <c:v>64.564398747332348</c:v>
                </c:pt>
                <c:pt idx="186">
                  <c:v>57.495488593937843</c:v>
                </c:pt>
                <c:pt idx="187">
                  <c:v>63.273265544219058</c:v>
                </c:pt>
                <c:pt idx="188">
                  <c:v>52.655675681950314</c:v>
                </c:pt>
                <c:pt idx="189">
                  <c:v>45.118064603594689</c:v>
                </c:pt>
                <c:pt idx="190">
                  <c:v>45.626185716327427</c:v>
                </c:pt>
                <c:pt idx="191">
                  <c:v>50.620729144478972</c:v>
                </c:pt>
                <c:pt idx="192">
                  <c:v>43.262875836428023</c:v>
                </c:pt>
                <c:pt idx="193">
                  <c:v>41.507916234181657</c:v>
                </c:pt>
                <c:pt idx="194">
                  <c:v>41.514441379719038</c:v>
                </c:pt>
                <c:pt idx="195">
                  <c:v>33.84338218503089</c:v>
                </c:pt>
                <c:pt idx="196">
                  <c:v>32.277817769199302</c:v>
                </c:pt>
                <c:pt idx="197">
                  <c:v>38.348186125177563</c:v>
                </c:pt>
                <c:pt idx="198">
                  <c:v>46.682750020054819</c:v>
                </c:pt>
                <c:pt idx="199">
                  <c:v>47.481273106052967</c:v>
                </c:pt>
                <c:pt idx="200">
                  <c:v>49.076752123204464</c:v>
                </c:pt>
                <c:pt idx="201">
                  <c:v>42.631074912108453</c:v>
                </c:pt>
                <c:pt idx="202">
                  <c:v>45.644149306512887</c:v>
                </c:pt>
                <c:pt idx="203">
                  <c:v>47.270151217715487</c:v>
                </c:pt>
                <c:pt idx="204">
                  <c:v>39.947716265582336</c:v>
                </c:pt>
                <c:pt idx="205">
                  <c:v>38.754341080488672</c:v>
                </c:pt>
                <c:pt idx="206">
                  <c:v>45.400273021736794</c:v>
                </c:pt>
                <c:pt idx="207">
                  <c:v>41.313412673254717</c:v>
                </c:pt>
                <c:pt idx="208">
                  <c:v>44.911800205516279</c:v>
                </c:pt>
                <c:pt idx="209">
                  <c:v>49.162987313612135</c:v>
                </c:pt>
                <c:pt idx="210">
                  <c:v>40.82233523426568</c:v>
                </c:pt>
                <c:pt idx="211">
                  <c:v>32.890002928955013</c:v>
                </c:pt>
                <c:pt idx="212">
                  <c:v>18.344264797186071</c:v>
                </c:pt>
                <c:pt idx="213">
                  <c:v>21.805479208164357</c:v>
                </c:pt>
                <c:pt idx="214">
                  <c:v>25.787265968813855</c:v>
                </c:pt>
                <c:pt idx="215">
                  <c:v>32.8963345122379</c:v>
                </c:pt>
                <c:pt idx="216">
                  <c:v>47.105118586832106</c:v>
                </c:pt>
                <c:pt idx="217">
                  <c:v>61.426810190132827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F-43FD-91D1-3A3068A6D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824064"/>
        <c:axId val="358025472"/>
      </c:lineChart>
      <c:dateAx>
        <c:axId val="177721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84744448"/>
        <c:crosses val="autoZero"/>
        <c:auto val="1"/>
        <c:lblOffset val="100"/>
        <c:baseTimeUnit val="days"/>
        <c:majorUnit val="2"/>
        <c:majorTimeUnit val="months"/>
      </c:dateAx>
      <c:valAx>
        <c:axId val="28474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Close Price</a:t>
                </a:r>
              </a:p>
            </c:rich>
          </c:tx>
          <c:layout/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crossAx val="177721344"/>
        <c:crosses val="autoZero"/>
        <c:crossBetween val="between"/>
      </c:valAx>
      <c:valAx>
        <c:axId val="358025472"/>
        <c:scaling>
          <c:orientation val="minMax"/>
          <c:max val="88.568649451241171"/>
          <c:min val="23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MFI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2824064"/>
        <c:crosses val="max"/>
        <c:crossBetween val="between"/>
      </c:valAx>
      <c:dateAx>
        <c:axId val="2528240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5802547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377825</xdr:colOff>
      <xdr:row>28</xdr:row>
      <xdr:rowOff>0</xdr:rowOff>
    </xdr:to>
    <xdr:graphicFrame macro="">
      <xdr:nvGraphicFramePr>
        <xdr:cNvPr id="2" name="MFI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63499</xdr:colOff>
      <xdr:row>0</xdr:row>
      <xdr:rowOff>79163</xdr:rowOff>
    </xdr:from>
    <xdr:to>
      <xdr:col>6</xdr:col>
      <xdr:colOff>15240</xdr:colOff>
      <xdr:row>2</xdr:row>
      <xdr:rowOff>139108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30009D17-46F9-40B7-8FC6-82F5F479C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9239" y="79163"/>
          <a:ext cx="561341" cy="6466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273868</xdr:colOff>
      <xdr:row>28</xdr:row>
      <xdr:rowOff>165099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0FF8F0E-ADF8-4B14-B046-7FE255DC3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94908" cy="528573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225" connectionId="14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3" connectionId="1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4" connectionId="4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6" connectionId="1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6" connectionId="1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70" connectionId="7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36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83" connectionId="1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69" connectionId="1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4" connectionId="11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64" connectionId="13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77" connectionId="15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80" connectionId="9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95" connectionId="1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77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92" connectionId="1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1" connectionId="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34" connectionId="14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72" connectionId="14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9" connectionId="12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98" connectionId="13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47" connectionId="9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05" connectionId="14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08" connectionId="15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36" connectionId="2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67" connectionId="6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75" connectionId="8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0" connectionId="17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55" connectionId="11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211" connectionId="3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93" connectionId="1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84" connectionId="16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224" connectionId="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72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0" connectionId="10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6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81" connectionId="16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46" connectionId="9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43" connectionId="8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" connectionId="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15" connectionId="10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4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90" connectionId="11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20" connectionId="3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6" connectionId="10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49" connectionId="10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42" connectionId="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48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97" connectionId="1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231" connectionId="2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233" connectionId="16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2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45" connectionId="16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32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41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50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55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91" connectionId="11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84" connectionId="9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235" connectionId="4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4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65" connectionId="13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75" connectionId="1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64" connectionId="5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82" connectionId="1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87" connectionId="10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34" connectionId="6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78" connectionId="15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206" connectionId="14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56" connectionId="1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212" connectionId="10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232" connectionId="1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73" connectionId="15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207" connectionId="15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21" connectionId="3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7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38" connectionId="1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204" connectionId="14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68" connectionId="13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30" connectionId="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29" connectionId="5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28" connectionId="5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228" connectionId="1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220" connectionId="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65" connectionId="5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71" connectionId="7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56" connectionId="3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21" connectionId="1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63" connectionId="1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44" connectionId="9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239" connectionId="16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58" connectionId="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27" connectionId="5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46" connectionId="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229" connectionId="2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58" connectionId="12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79" connectionId="16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43" connectionId="10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22" connectionId="4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61" connectionId="4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96" connectionId="12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83" connectionId="9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40" connectionId="8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74" connectionId="7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66" connectionId="6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214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31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62" connectionId="1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189" connectionId="11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38" connectionId="7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151" connectionId="2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181" connectionId="9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45" connectionId="9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52" connectionId="10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169" connectionId="6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76" connectionId="15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210" connectionId="5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222" connectionId="2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94" connectionId="12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57" connectionId="11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61" connectionId="12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48" connectionId="9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218" connectionId="3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153" connectionId="2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144" connectionId="14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217" connectionId="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179" connectionId="8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201" connectionId="13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25" connectionId="4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200" connectionId="13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147" connectionId="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152" connectionId="2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59" connectionId="4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33" connectionId="6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182" connectionId="9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243" connectionId="1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157" connectionId="3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37" connectionId="7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209" connectionId="15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74" connectionId="15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149" connectionId="1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54" connectionId="3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240" connectionId="2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51" connectionId="10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173" connectionId="7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226" connectionId="3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13" connectionId="1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242" connectionId="2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19" connectionId="3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213" connectionId="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41" connectionId="8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199" connectionId="13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16" connectionId="2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185" connectionId="10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70" connectionId="14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241" connectionId="2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186" connectionId="10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188" connectionId="11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67" connectionId="13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142" connectionId="5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5" connectionId="2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216" connectionId="1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23" connectionId="4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168" connectionId="6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35" connectionId="7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230" connectionId="17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26" connectionId="5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37" connectionId="1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163" connectionId="5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238" connectionId="1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80" connectionId="16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219" connectionId="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203" connectionId="14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162" connectionId="5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18" connectionId="3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8" connectionId="15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140" connectionId="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3" connectionId="4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178" connectionId="8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139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202" connectionId="13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227" connectionId="6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85" connectionId="16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39" connectionId="7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71" connectionId="14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223" connectionId="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176" connectionId="8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38" Type="http://schemas.openxmlformats.org/officeDocument/2006/relationships/queryTable" Target="../queryTables/queryTable138.xml"/><Relationship Id="rId154" Type="http://schemas.openxmlformats.org/officeDocument/2006/relationships/queryTable" Target="../queryTables/queryTable154.xml"/><Relationship Id="rId159" Type="http://schemas.openxmlformats.org/officeDocument/2006/relationships/queryTable" Target="../queryTables/queryTable159.xml"/><Relationship Id="rId175" Type="http://schemas.openxmlformats.org/officeDocument/2006/relationships/queryTable" Target="../queryTables/queryTable175.xml"/><Relationship Id="rId170" Type="http://schemas.openxmlformats.org/officeDocument/2006/relationships/queryTable" Target="../queryTables/queryTable170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28" Type="http://schemas.openxmlformats.org/officeDocument/2006/relationships/queryTable" Target="../queryTables/queryTable128.xml"/><Relationship Id="rId144" Type="http://schemas.openxmlformats.org/officeDocument/2006/relationships/queryTable" Target="../queryTables/queryTable144.xml"/><Relationship Id="rId149" Type="http://schemas.openxmlformats.org/officeDocument/2006/relationships/queryTable" Target="../queryTables/queryTable14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165" Type="http://schemas.openxmlformats.org/officeDocument/2006/relationships/queryTable" Target="../queryTables/queryTable165.xml"/><Relationship Id="rId181" Type="http://schemas.openxmlformats.org/officeDocument/2006/relationships/queryTable" Target="../queryTables/queryTable181.xml"/><Relationship Id="rId186" Type="http://schemas.openxmlformats.org/officeDocument/2006/relationships/queryTable" Target="../queryTables/queryTable186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34" Type="http://schemas.openxmlformats.org/officeDocument/2006/relationships/queryTable" Target="../queryTables/queryTable134.xml"/><Relationship Id="rId139" Type="http://schemas.openxmlformats.org/officeDocument/2006/relationships/queryTable" Target="../queryTables/queryTable13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55" Type="http://schemas.openxmlformats.org/officeDocument/2006/relationships/queryTable" Target="../queryTables/queryTable155.xml"/><Relationship Id="rId171" Type="http://schemas.openxmlformats.org/officeDocument/2006/relationships/queryTable" Target="../queryTables/queryTable171.xml"/><Relationship Id="rId176" Type="http://schemas.openxmlformats.org/officeDocument/2006/relationships/queryTable" Target="../queryTables/queryTable176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45" Type="http://schemas.openxmlformats.org/officeDocument/2006/relationships/queryTable" Target="../queryTables/queryTable145.xml"/><Relationship Id="rId161" Type="http://schemas.openxmlformats.org/officeDocument/2006/relationships/queryTable" Target="../queryTables/queryTable161.xml"/><Relationship Id="rId166" Type="http://schemas.openxmlformats.org/officeDocument/2006/relationships/queryTable" Target="../queryTables/queryTable166.xml"/><Relationship Id="rId182" Type="http://schemas.openxmlformats.org/officeDocument/2006/relationships/queryTable" Target="../queryTables/queryTable182.xml"/><Relationship Id="rId187" Type="http://schemas.openxmlformats.org/officeDocument/2006/relationships/queryTable" Target="../queryTables/queryTable187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51" Type="http://schemas.openxmlformats.org/officeDocument/2006/relationships/queryTable" Target="../queryTables/queryTable151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72" Type="http://schemas.openxmlformats.org/officeDocument/2006/relationships/queryTable" Target="../queryTables/queryTable172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141" Type="http://schemas.openxmlformats.org/officeDocument/2006/relationships/queryTable" Target="../queryTables/queryTable141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79" Type="http://schemas.openxmlformats.org/officeDocument/2006/relationships/queryTable" Target="../queryTables/queryTable179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164" Type="http://schemas.openxmlformats.org/officeDocument/2006/relationships/queryTable" Target="../queryTables/queryTable164.xml"/><Relationship Id="rId169" Type="http://schemas.openxmlformats.org/officeDocument/2006/relationships/queryTable" Target="../queryTables/queryTable169.xml"/><Relationship Id="rId185" Type="http://schemas.openxmlformats.org/officeDocument/2006/relationships/queryTable" Target="../queryTables/queryTable18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80" Type="http://schemas.openxmlformats.org/officeDocument/2006/relationships/queryTable" Target="../queryTables/queryTable18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6"/>
  <sheetViews>
    <sheetView showGridLines="0" tabSelected="1" zoomScale="90" zoomScaleNormal="90" workbookViewId="0">
      <selection activeCell="F5" sqref="F5"/>
    </sheetView>
  </sheetViews>
  <sheetFormatPr defaultRowHeight="14.4" x14ac:dyDescent="0.25"/>
  <cols>
    <col min="1" max="1" width="20.33203125" customWidth="1"/>
    <col min="2" max="2" width="18.6640625" customWidth="1"/>
    <col min="3" max="3" width="8.5546875" customWidth="1"/>
    <col min="8" max="8" width="12.33203125" customWidth="1"/>
    <col min="9" max="9" width="9.109375" style="2"/>
    <col min="13" max="13" width="5.33203125" customWidth="1"/>
  </cols>
  <sheetData>
    <row r="1" spans="1:10" ht="30" x14ac:dyDescent="0.5">
      <c r="A1" s="1" t="s">
        <v>0</v>
      </c>
      <c r="E1" s="1"/>
      <c r="G1" s="8" t="s">
        <v>8</v>
      </c>
      <c r="I1"/>
    </row>
    <row r="2" spans="1:10" ht="16.2" thickBot="1" x14ac:dyDescent="0.4">
      <c r="G2" s="8" t="s">
        <v>9</v>
      </c>
      <c r="I2"/>
    </row>
    <row r="3" spans="1:10" x14ac:dyDescent="0.25">
      <c r="A3" s="13" t="s">
        <v>17</v>
      </c>
      <c r="B3" s="14"/>
      <c r="I3"/>
      <c r="J3" s="3"/>
    </row>
    <row r="4" spans="1:10" x14ac:dyDescent="0.25">
      <c r="A4" s="15" t="s">
        <v>18</v>
      </c>
      <c r="B4" s="16" t="s">
        <v>19</v>
      </c>
      <c r="J4" s="3"/>
    </row>
    <row r="5" spans="1:10" x14ac:dyDescent="0.25">
      <c r="A5" s="15" t="s">
        <v>20</v>
      </c>
      <c r="B5" s="17">
        <f>数据Data!A2</f>
        <v>43467</v>
      </c>
    </row>
    <row r="6" spans="1:10" ht="15" thickBot="1" x14ac:dyDescent="0.3">
      <c r="A6" s="18" t="s">
        <v>21</v>
      </c>
      <c r="B6" s="17">
        <f>数据Data!A213</f>
        <v>43784</v>
      </c>
    </row>
    <row r="7" spans="1:10" x14ac:dyDescent="0.25">
      <c r="I7"/>
    </row>
    <row r="8" spans="1:10" x14ac:dyDescent="0.25">
      <c r="I8"/>
    </row>
    <row r="9" spans="1:10" x14ac:dyDescent="0.25">
      <c r="I9"/>
    </row>
    <row r="10" spans="1:10" x14ac:dyDescent="0.25">
      <c r="I10"/>
    </row>
    <row r="11" spans="1:10" x14ac:dyDescent="0.25">
      <c r="I11"/>
    </row>
    <row r="12" spans="1:10" x14ac:dyDescent="0.25">
      <c r="I12"/>
    </row>
    <row r="13" spans="1:10" x14ac:dyDescent="0.25">
      <c r="I13"/>
    </row>
    <row r="14" spans="1:10" x14ac:dyDescent="0.25">
      <c r="I14"/>
    </row>
    <row r="15" spans="1:10" x14ac:dyDescent="0.25">
      <c r="I15"/>
    </row>
    <row r="16" spans="1:10" x14ac:dyDescent="0.25">
      <c r="I16"/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2"/>
  <sheetViews>
    <sheetView workbookViewId="0">
      <selection activeCell="B20" sqref="B20"/>
    </sheetView>
  </sheetViews>
  <sheetFormatPr defaultRowHeight="13.2" x14ac:dyDescent="0.25"/>
  <cols>
    <col min="1" max="1" width="10.6640625" style="7" bestFit="1" customWidth="1"/>
    <col min="2" max="2" width="8.33203125" style="5" customWidth="1"/>
    <col min="3" max="4" width="7.21875" style="5" customWidth="1"/>
    <col min="5" max="5" width="8.33203125" style="5" customWidth="1"/>
    <col min="6" max="6" width="14.33203125" style="6" customWidth="1"/>
    <col min="7" max="7" width="9.88671875" style="5" customWidth="1"/>
    <col min="8" max="8" width="14.109375" style="6" customWidth="1"/>
    <col min="9" max="9" width="16.33203125" style="6" customWidth="1"/>
    <col min="10" max="10" width="15" style="6" customWidth="1"/>
    <col min="11" max="11" width="17.88671875" style="6" customWidth="1"/>
    <col min="12" max="12" width="17.44140625" style="6" customWidth="1"/>
    <col min="13" max="14" width="13" style="5" bestFit="1" customWidth="1"/>
    <col min="15" max="16384" width="8.88671875" style="4"/>
  </cols>
  <sheetData>
    <row r="1" spans="1:14" s="12" customFormat="1" ht="27" customHeight="1" x14ac:dyDescent="0.25">
      <c r="A1" s="9" t="s">
        <v>2</v>
      </c>
      <c r="B1" s="10" t="s">
        <v>3</v>
      </c>
      <c r="C1" s="10" t="s">
        <v>4</v>
      </c>
      <c r="D1" s="10" t="s">
        <v>5</v>
      </c>
      <c r="E1" s="10" t="s">
        <v>6</v>
      </c>
      <c r="F1" s="11" t="s">
        <v>7</v>
      </c>
      <c r="G1" s="10" t="s">
        <v>11</v>
      </c>
      <c r="H1" s="11" t="s">
        <v>10</v>
      </c>
      <c r="I1" s="11" t="s">
        <v>13</v>
      </c>
      <c r="J1" s="11" t="s">
        <v>16</v>
      </c>
      <c r="K1" s="11" t="s">
        <v>14</v>
      </c>
      <c r="L1" s="11" t="s">
        <v>15</v>
      </c>
      <c r="M1" s="10" t="s">
        <v>1</v>
      </c>
      <c r="N1" s="10" t="s">
        <v>12</v>
      </c>
    </row>
    <row r="2" spans="1:14" x14ac:dyDescent="0.25">
      <c r="A2" s="7">
        <v>43467</v>
      </c>
      <c r="B2" s="5">
        <v>9.39</v>
      </c>
      <c r="C2" s="5">
        <v>9.42</v>
      </c>
      <c r="D2" s="5">
        <v>9.16</v>
      </c>
      <c r="E2" s="5">
        <v>9.19</v>
      </c>
      <c r="F2" s="6">
        <v>53938632</v>
      </c>
      <c r="G2" s="5">
        <f t="shared" ref="G2:G65" si="0">(C2 + D2 + E2)/3</f>
        <v>9.2566666666666659</v>
      </c>
      <c r="H2" s="6">
        <f t="shared" ref="H2:H65" si="1">G2*F2</f>
        <v>499291936.87999994</v>
      </c>
    </row>
    <row r="3" spans="1:14" x14ac:dyDescent="0.25">
      <c r="A3" s="7">
        <v>43468</v>
      </c>
      <c r="B3" s="5">
        <v>9.18</v>
      </c>
      <c r="C3" s="5">
        <v>9.33</v>
      </c>
      <c r="D3" s="5">
        <v>9.15</v>
      </c>
      <c r="E3" s="5">
        <v>9.2799999999999994</v>
      </c>
      <c r="F3" s="6">
        <v>41553796</v>
      </c>
      <c r="G3" s="5">
        <f t="shared" si="0"/>
        <v>9.2533333333333321</v>
      </c>
      <c r="H3" s="6">
        <f t="shared" si="1"/>
        <v>384511125.65333331</v>
      </c>
      <c r="I3" s="6">
        <f t="shared" ref="I3:I66" si="2">IF(G3&gt;G2,H3,0)</f>
        <v>0</v>
      </c>
      <c r="J3" s="6">
        <f t="shared" ref="J3:J66" si="3">IF(G3&lt;G2,H3,0)</f>
        <v>384511125.65333331</v>
      </c>
    </row>
    <row r="4" spans="1:14" hidden="1" x14ac:dyDescent="0.25">
      <c r="A4" s="7">
        <v>43469</v>
      </c>
      <c r="B4" s="5">
        <v>9.24</v>
      </c>
      <c r="C4" s="5">
        <v>9.82</v>
      </c>
      <c r="D4" s="5">
        <v>9.2200000000000006</v>
      </c>
      <c r="E4" s="5">
        <v>9.75</v>
      </c>
      <c r="F4" s="6">
        <v>148115904</v>
      </c>
      <c r="G4" s="5">
        <f t="shared" si="0"/>
        <v>9.5966666666666658</v>
      </c>
      <c r="H4" s="6">
        <f t="shared" si="1"/>
        <v>1421418958.7199998</v>
      </c>
      <c r="I4" s="6">
        <f t="shared" si="2"/>
        <v>1421418958.7199998</v>
      </c>
      <c r="J4" s="6">
        <f t="shared" si="3"/>
        <v>0</v>
      </c>
    </row>
    <row r="5" spans="1:14" hidden="1" x14ac:dyDescent="0.25">
      <c r="A5" s="7">
        <v>43472</v>
      </c>
      <c r="B5" s="5">
        <v>9.84</v>
      </c>
      <c r="C5" s="5">
        <v>9.85</v>
      </c>
      <c r="D5" s="5">
        <v>9.6300000000000008</v>
      </c>
      <c r="E5" s="5">
        <v>9.74</v>
      </c>
      <c r="F5" s="6">
        <v>86568768</v>
      </c>
      <c r="G5" s="5">
        <f t="shared" si="0"/>
        <v>9.74</v>
      </c>
      <c r="H5" s="6">
        <f t="shared" si="1"/>
        <v>843179800.32000005</v>
      </c>
      <c r="I5" s="6">
        <f t="shared" si="2"/>
        <v>843179800.32000005</v>
      </c>
      <c r="J5" s="6">
        <f t="shared" si="3"/>
        <v>0</v>
      </c>
    </row>
    <row r="6" spans="1:14" hidden="1" x14ac:dyDescent="0.25">
      <c r="A6" s="7">
        <v>43473</v>
      </c>
      <c r="B6" s="5">
        <v>9.73</v>
      </c>
      <c r="C6" s="5">
        <v>9.74</v>
      </c>
      <c r="D6" s="5">
        <v>9.6199999999999992</v>
      </c>
      <c r="E6" s="5">
        <v>9.66</v>
      </c>
      <c r="F6" s="6">
        <v>40238812</v>
      </c>
      <c r="G6" s="5">
        <f t="shared" si="0"/>
        <v>9.6733333333333338</v>
      </c>
      <c r="H6" s="6">
        <f t="shared" si="1"/>
        <v>389243441.41333336</v>
      </c>
      <c r="I6" s="6">
        <f t="shared" si="2"/>
        <v>0</v>
      </c>
      <c r="J6" s="6">
        <f t="shared" si="3"/>
        <v>389243441.41333336</v>
      </c>
    </row>
    <row r="7" spans="1:14" hidden="1" x14ac:dyDescent="0.25">
      <c r="A7" s="7">
        <v>43474</v>
      </c>
      <c r="B7" s="5">
        <v>9.74</v>
      </c>
      <c r="C7" s="5">
        <v>10.08</v>
      </c>
      <c r="D7" s="5">
        <v>9.6999999999999993</v>
      </c>
      <c r="E7" s="5">
        <v>9.94</v>
      </c>
      <c r="F7" s="6">
        <v>123348640</v>
      </c>
      <c r="G7" s="5">
        <f t="shared" si="0"/>
        <v>9.9066666666666663</v>
      </c>
      <c r="H7" s="6">
        <f t="shared" si="1"/>
        <v>1221973860.2666667</v>
      </c>
      <c r="I7" s="6">
        <f t="shared" si="2"/>
        <v>1221973860.2666667</v>
      </c>
      <c r="J7" s="6">
        <f t="shared" si="3"/>
        <v>0</v>
      </c>
    </row>
    <row r="8" spans="1:14" hidden="1" x14ac:dyDescent="0.25">
      <c r="A8" s="7">
        <v>43475</v>
      </c>
      <c r="B8" s="5">
        <v>9.8699999999999992</v>
      </c>
      <c r="C8" s="5">
        <v>10.199999999999999</v>
      </c>
      <c r="D8" s="5">
        <v>9.86</v>
      </c>
      <c r="E8" s="5">
        <v>10.1</v>
      </c>
      <c r="F8" s="6">
        <v>107181768</v>
      </c>
      <c r="G8" s="5">
        <f t="shared" si="0"/>
        <v>10.053333333333333</v>
      </c>
      <c r="H8" s="6">
        <f t="shared" si="1"/>
        <v>1077534040.96</v>
      </c>
      <c r="I8" s="6">
        <f t="shared" si="2"/>
        <v>1077534040.96</v>
      </c>
      <c r="J8" s="6">
        <f t="shared" si="3"/>
        <v>0</v>
      </c>
    </row>
    <row r="9" spans="1:14" x14ac:dyDescent="0.25">
      <c r="A9" s="7">
        <v>43476</v>
      </c>
      <c r="B9" s="5">
        <v>10.11</v>
      </c>
      <c r="C9" s="5">
        <v>10.220000000000001</v>
      </c>
      <c r="D9" s="5">
        <v>10.050000000000001</v>
      </c>
      <c r="E9" s="5">
        <v>10.199999999999999</v>
      </c>
      <c r="F9" s="6">
        <v>69636456</v>
      </c>
      <c r="G9" s="5">
        <f t="shared" si="0"/>
        <v>10.156666666666668</v>
      </c>
      <c r="H9" s="6">
        <f t="shared" si="1"/>
        <v>707274271.44000006</v>
      </c>
      <c r="I9" s="6">
        <f t="shared" si="2"/>
        <v>707274271.44000006</v>
      </c>
      <c r="J9" s="6">
        <f t="shared" si="3"/>
        <v>0</v>
      </c>
    </row>
    <row r="10" spans="1:14" x14ac:dyDescent="0.25">
      <c r="A10" s="7">
        <v>43479</v>
      </c>
      <c r="B10" s="5">
        <v>10.220000000000001</v>
      </c>
      <c r="C10" s="5">
        <v>10.25</v>
      </c>
      <c r="D10" s="5">
        <v>10.07</v>
      </c>
      <c r="E10" s="5">
        <v>10.11</v>
      </c>
      <c r="F10" s="6">
        <v>50044360</v>
      </c>
      <c r="G10" s="5">
        <f t="shared" si="0"/>
        <v>10.143333333333333</v>
      </c>
      <c r="H10" s="6">
        <f t="shared" si="1"/>
        <v>507616624.93333328</v>
      </c>
      <c r="I10" s="6">
        <f t="shared" si="2"/>
        <v>0</v>
      </c>
      <c r="J10" s="6">
        <f t="shared" si="3"/>
        <v>507616624.93333328</v>
      </c>
    </row>
    <row r="11" spans="1:14" x14ac:dyDescent="0.25">
      <c r="A11" s="7">
        <v>43480</v>
      </c>
      <c r="B11" s="5">
        <v>10.11</v>
      </c>
      <c r="C11" s="5">
        <v>10.28</v>
      </c>
      <c r="D11" s="5">
        <v>10.09</v>
      </c>
      <c r="E11" s="5">
        <v>10.24</v>
      </c>
      <c r="F11" s="6">
        <v>54216056</v>
      </c>
      <c r="G11" s="5">
        <f t="shared" si="0"/>
        <v>10.203333333333333</v>
      </c>
      <c r="H11" s="6">
        <f t="shared" si="1"/>
        <v>553184491.38666666</v>
      </c>
      <c r="I11" s="6">
        <f t="shared" si="2"/>
        <v>553184491.38666666</v>
      </c>
      <c r="J11" s="6">
        <f t="shared" si="3"/>
        <v>0</v>
      </c>
    </row>
    <row r="12" spans="1:14" x14ac:dyDescent="0.25">
      <c r="A12" s="7">
        <v>43481</v>
      </c>
      <c r="B12" s="5">
        <v>10.24</v>
      </c>
      <c r="C12" s="5">
        <v>10.5</v>
      </c>
      <c r="D12" s="5">
        <v>10.23</v>
      </c>
      <c r="E12" s="5">
        <v>10.48</v>
      </c>
      <c r="F12" s="6">
        <v>97769936</v>
      </c>
      <c r="G12" s="5">
        <f t="shared" si="0"/>
        <v>10.403333333333334</v>
      </c>
      <c r="H12" s="6">
        <f t="shared" si="1"/>
        <v>1017133234.1866667</v>
      </c>
      <c r="I12" s="6">
        <f t="shared" si="2"/>
        <v>1017133234.1866667</v>
      </c>
      <c r="J12" s="6">
        <f t="shared" si="3"/>
        <v>0</v>
      </c>
    </row>
    <row r="13" spans="1:14" x14ac:dyDescent="0.25">
      <c r="A13" s="7">
        <v>43482</v>
      </c>
      <c r="B13" s="5">
        <v>10.54</v>
      </c>
      <c r="C13" s="5">
        <v>10.57</v>
      </c>
      <c r="D13" s="5">
        <v>10.17</v>
      </c>
      <c r="E13" s="5">
        <v>10.25</v>
      </c>
      <c r="F13" s="6">
        <v>88281192</v>
      </c>
      <c r="G13" s="5">
        <f t="shared" si="0"/>
        <v>10.33</v>
      </c>
      <c r="H13" s="6">
        <f t="shared" si="1"/>
        <v>911944713.36000001</v>
      </c>
      <c r="I13" s="6">
        <f t="shared" si="2"/>
        <v>0</v>
      </c>
      <c r="J13" s="6">
        <f t="shared" si="3"/>
        <v>911944713.36000001</v>
      </c>
    </row>
    <row r="14" spans="1:14" x14ac:dyDescent="0.25">
      <c r="A14" s="7">
        <v>43483</v>
      </c>
      <c r="B14" s="5">
        <v>10.34</v>
      </c>
      <c r="C14" s="5">
        <v>10.49</v>
      </c>
      <c r="D14" s="5">
        <v>10.28</v>
      </c>
      <c r="E14" s="5">
        <v>10.43</v>
      </c>
      <c r="F14" s="6">
        <v>73879328</v>
      </c>
      <c r="G14" s="5">
        <f t="shared" si="0"/>
        <v>10.4</v>
      </c>
      <c r="H14" s="6">
        <f t="shared" si="1"/>
        <v>768345011.20000005</v>
      </c>
      <c r="I14" s="6">
        <f t="shared" si="2"/>
        <v>768345011.20000005</v>
      </c>
      <c r="J14" s="6">
        <f t="shared" si="3"/>
        <v>0</v>
      </c>
    </row>
    <row r="15" spans="1:14" x14ac:dyDescent="0.25">
      <c r="A15" s="7">
        <v>43486</v>
      </c>
      <c r="B15" s="5">
        <v>10.34</v>
      </c>
      <c r="C15" s="5">
        <v>10.47</v>
      </c>
      <c r="D15" s="5">
        <v>10.32</v>
      </c>
      <c r="E15" s="5">
        <v>10.34</v>
      </c>
      <c r="F15" s="6">
        <v>65935576</v>
      </c>
      <c r="G15" s="5">
        <f t="shared" si="0"/>
        <v>10.376666666666667</v>
      </c>
      <c r="H15" s="6">
        <f t="shared" si="1"/>
        <v>684191493.62666667</v>
      </c>
      <c r="I15" s="6">
        <f t="shared" si="2"/>
        <v>0</v>
      </c>
      <c r="J15" s="6">
        <f t="shared" si="3"/>
        <v>684191493.62666667</v>
      </c>
      <c r="K15" s="6">
        <f t="shared" ref="K15:K78" si="4">SUM(I2:I15)</f>
        <v>7610043668.4799995</v>
      </c>
      <c r="L15" s="6">
        <f t="shared" ref="L15:L78" si="5">SUM(J2:J15)</f>
        <v>2877507398.9866667</v>
      </c>
      <c r="M15" s="5">
        <f>K15/L15</f>
        <v>2.6446651957037286</v>
      </c>
      <c r="N15" s="5">
        <f t="shared" ref="N15:N78" si="6">100-(100/(1+M15))</f>
        <v>72.562637545451821</v>
      </c>
    </row>
    <row r="16" spans="1:14" x14ac:dyDescent="0.25">
      <c r="A16" s="7">
        <v>43487</v>
      </c>
      <c r="B16" s="5">
        <v>10.34</v>
      </c>
      <c r="C16" s="5">
        <v>10.44</v>
      </c>
      <c r="D16" s="5">
        <v>10.26</v>
      </c>
      <c r="E16" s="5">
        <v>10.28</v>
      </c>
      <c r="F16" s="6">
        <v>42441356</v>
      </c>
      <c r="G16" s="5">
        <f t="shared" si="0"/>
        <v>10.326666666666666</v>
      </c>
      <c r="H16" s="6">
        <f t="shared" si="1"/>
        <v>438277736.29333329</v>
      </c>
      <c r="I16" s="6">
        <f t="shared" si="2"/>
        <v>0</v>
      </c>
      <c r="J16" s="6">
        <f t="shared" si="3"/>
        <v>438277736.29333329</v>
      </c>
      <c r="K16" s="6">
        <f t="shared" si="4"/>
        <v>7610043668.4799995</v>
      </c>
      <c r="L16" s="6">
        <f t="shared" si="5"/>
        <v>3315785135.2799997</v>
      </c>
      <c r="M16" s="5">
        <f t="shared" ref="M16:M78" si="7">K16/L16</f>
        <v>2.2950955378589009</v>
      </c>
      <c r="N16" s="5">
        <f>100-(100/(1+M16))</f>
        <v>69.651866280946024</v>
      </c>
    </row>
    <row r="17" spans="1:14" x14ac:dyDescent="0.25">
      <c r="A17" s="7">
        <v>43488</v>
      </c>
      <c r="B17" s="5">
        <v>10.29</v>
      </c>
      <c r="C17" s="5">
        <v>10.47</v>
      </c>
      <c r="D17" s="5">
        <v>10.29</v>
      </c>
      <c r="E17" s="5">
        <v>10.35</v>
      </c>
      <c r="F17" s="6">
        <v>53787664</v>
      </c>
      <c r="G17" s="5">
        <f t="shared" si="0"/>
        <v>10.37</v>
      </c>
      <c r="H17" s="6">
        <f t="shared" si="1"/>
        <v>557778075.67999995</v>
      </c>
      <c r="I17" s="6">
        <f t="shared" si="2"/>
        <v>557778075.67999995</v>
      </c>
      <c r="J17" s="6">
        <f t="shared" si="3"/>
        <v>0</v>
      </c>
      <c r="K17" s="6">
        <f t="shared" si="4"/>
        <v>8167821744.1599998</v>
      </c>
      <c r="L17" s="6">
        <f t="shared" si="5"/>
        <v>2931274009.6266661</v>
      </c>
      <c r="M17" s="5">
        <f t="shared" si="7"/>
        <v>2.7864408845218374</v>
      </c>
      <c r="N17" s="5">
        <f t="shared" si="6"/>
        <v>73.589974583050093</v>
      </c>
    </row>
    <row r="18" spans="1:14" x14ac:dyDescent="0.25">
      <c r="A18" s="7">
        <v>43489</v>
      </c>
      <c r="B18" s="5">
        <v>10.4</v>
      </c>
      <c r="C18" s="5">
        <v>10.55</v>
      </c>
      <c r="D18" s="5">
        <v>10.37</v>
      </c>
      <c r="E18" s="5">
        <v>10.52</v>
      </c>
      <c r="F18" s="6">
        <v>67924088</v>
      </c>
      <c r="G18" s="5">
        <f t="shared" si="0"/>
        <v>10.48</v>
      </c>
      <c r="H18" s="6">
        <f t="shared" si="1"/>
        <v>711844442.24000001</v>
      </c>
      <c r="I18" s="6">
        <f t="shared" si="2"/>
        <v>711844442.24000001</v>
      </c>
      <c r="J18" s="6">
        <f t="shared" si="3"/>
        <v>0</v>
      </c>
      <c r="K18" s="6">
        <f t="shared" si="4"/>
        <v>7458247227.6799994</v>
      </c>
      <c r="L18" s="6">
        <f t="shared" si="5"/>
        <v>2931274009.6266661</v>
      </c>
      <c r="M18" s="5">
        <f t="shared" si="7"/>
        <v>2.5443705375840655</v>
      </c>
      <c r="N18" s="5">
        <f t="shared" si="6"/>
        <v>71.786245557677333</v>
      </c>
    </row>
    <row r="19" spans="1:14" x14ac:dyDescent="0.25">
      <c r="A19" s="7">
        <v>43490</v>
      </c>
      <c r="B19" s="5">
        <v>10.56</v>
      </c>
      <c r="C19" s="5">
        <v>11.04</v>
      </c>
      <c r="D19" s="5">
        <v>10.55</v>
      </c>
      <c r="E19" s="5">
        <v>11</v>
      </c>
      <c r="F19" s="6">
        <v>210836192</v>
      </c>
      <c r="G19" s="5">
        <f t="shared" si="0"/>
        <v>10.863333333333335</v>
      </c>
      <c r="H19" s="6">
        <f t="shared" si="1"/>
        <v>2290383832.4266672</v>
      </c>
      <c r="I19" s="6">
        <f t="shared" si="2"/>
        <v>2290383832.4266672</v>
      </c>
      <c r="J19" s="6">
        <f t="shared" si="3"/>
        <v>0</v>
      </c>
      <c r="K19" s="6">
        <f t="shared" si="4"/>
        <v>8905451259.7866669</v>
      </c>
      <c r="L19" s="6">
        <f t="shared" si="5"/>
        <v>2931274009.6266661</v>
      </c>
      <c r="M19" s="5">
        <f t="shared" si="7"/>
        <v>3.0380821549060459</v>
      </c>
      <c r="N19" s="5">
        <f t="shared" si="6"/>
        <v>75.235768821962793</v>
      </c>
    </row>
    <row r="20" spans="1:14" x14ac:dyDescent="0.25">
      <c r="A20" s="7">
        <v>43493</v>
      </c>
      <c r="B20" s="5">
        <v>11.04</v>
      </c>
      <c r="C20" s="5">
        <v>11.14</v>
      </c>
      <c r="D20" s="5">
        <v>10.88</v>
      </c>
      <c r="E20" s="5">
        <v>10.94</v>
      </c>
      <c r="F20" s="6">
        <v>103590976</v>
      </c>
      <c r="G20" s="5">
        <f t="shared" si="0"/>
        <v>10.986666666666666</v>
      </c>
      <c r="H20" s="6">
        <f t="shared" si="1"/>
        <v>1138119522.9866667</v>
      </c>
      <c r="I20" s="6">
        <f t="shared" si="2"/>
        <v>1138119522.9866667</v>
      </c>
      <c r="J20" s="6">
        <f t="shared" si="3"/>
        <v>0</v>
      </c>
      <c r="K20" s="6">
        <f t="shared" si="4"/>
        <v>10043570782.773335</v>
      </c>
      <c r="L20" s="6">
        <f t="shared" si="5"/>
        <v>2542030568.2133331</v>
      </c>
      <c r="M20" s="5">
        <f t="shared" si="7"/>
        <v>3.9510031501440444</v>
      </c>
      <c r="N20" s="5">
        <f t="shared" si="6"/>
        <v>79.80207304107843</v>
      </c>
    </row>
    <row r="21" spans="1:14" x14ac:dyDescent="0.25">
      <c r="A21" s="7">
        <v>43494</v>
      </c>
      <c r="B21" s="5">
        <v>10.96</v>
      </c>
      <c r="C21" s="5">
        <v>11.07</v>
      </c>
      <c r="D21" s="5">
        <v>10.77</v>
      </c>
      <c r="E21" s="5">
        <v>11</v>
      </c>
      <c r="F21" s="6">
        <v>82663112</v>
      </c>
      <c r="G21" s="5">
        <f t="shared" si="0"/>
        <v>10.946666666666667</v>
      </c>
      <c r="H21" s="6">
        <f t="shared" si="1"/>
        <v>904885532.69333339</v>
      </c>
      <c r="I21" s="6">
        <f t="shared" si="2"/>
        <v>0</v>
      </c>
      <c r="J21" s="6">
        <f t="shared" si="3"/>
        <v>904885532.69333339</v>
      </c>
      <c r="K21" s="6">
        <f t="shared" si="4"/>
        <v>8821596922.5066681</v>
      </c>
      <c r="L21" s="6">
        <f t="shared" si="5"/>
        <v>3446916100.9066668</v>
      </c>
      <c r="M21" s="5">
        <f t="shared" si="7"/>
        <v>2.5592723072622108</v>
      </c>
      <c r="N21" s="5">
        <f t="shared" si="6"/>
        <v>71.904369385853499</v>
      </c>
    </row>
    <row r="22" spans="1:14" x14ac:dyDescent="0.25">
      <c r="A22" s="7">
        <v>43495</v>
      </c>
      <c r="B22" s="5">
        <v>10.95</v>
      </c>
      <c r="C22" s="5">
        <v>11.18</v>
      </c>
      <c r="D22" s="5">
        <v>10.86</v>
      </c>
      <c r="E22" s="5">
        <v>10.95</v>
      </c>
      <c r="F22" s="6">
        <v>71200104</v>
      </c>
      <c r="G22" s="5">
        <f t="shared" si="0"/>
        <v>10.996666666666664</v>
      </c>
      <c r="H22" s="6">
        <f t="shared" si="1"/>
        <v>782963810.31999981</v>
      </c>
      <c r="I22" s="6">
        <f t="shared" si="2"/>
        <v>782963810.31999981</v>
      </c>
      <c r="J22" s="6">
        <f t="shared" si="3"/>
        <v>0</v>
      </c>
      <c r="K22" s="6">
        <f t="shared" si="4"/>
        <v>8527026691.8666668</v>
      </c>
      <c r="L22" s="6">
        <f t="shared" si="5"/>
        <v>3446916100.9066668</v>
      </c>
      <c r="M22" s="5">
        <f t="shared" si="7"/>
        <v>2.4738132412401166</v>
      </c>
      <c r="N22" s="5">
        <f t="shared" si="6"/>
        <v>71.213190504075286</v>
      </c>
    </row>
    <row r="23" spans="1:14" x14ac:dyDescent="0.25">
      <c r="A23" s="7">
        <v>43496</v>
      </c>
      <c r="B23" s="5">
        <v>10.98</v>
      </c>
      <c r="C23" s="5">
        <v>11.2</v>
      </c>
      <c r="D23" s="5">
        <v>10.94</v>
      </c>
      <c r="E23" s="5">
        <v>11.1</v>
      </c>
      <c r="F23" s="6">
        <v>83162272</v>
      </c>
      <c r="G23" s="5">
        <f t="shared" si="0"/>
        <v>11.08</v>
      </c>
      <c r="H23" s="6">
        <f t="shared" si="1"/>
        <v>921437973.75999999</v>
      </c>
      <c r="I23" s="6">
        <f t="shared" si="2"/>
        <v>921437973.75999999</v>
      </c>
      <c r="J23" s="6">
        <f t="shared" si="3"/>
        <v>0</v>
      </c>
      <c r="K23" s="6">
        <f t="shared" si="4"/>
        <v>8741190394.1866665</v>
      </c>
      <c r="L23" s="6">
        <f t="shared" si="5"/>
        <v>3446916100.9066668</v>
      </c>
      <c r="M23" s="5">
        <f t="shared" si="7"/>
        <v>2.5359452154601061</v>
      </c>
      <c r="N23" s="5">
        <f t="shared" si="6"/>
        <v>71.719018846001063</v>
      </c>
    </row>
    <row r="24" spans="1:14" x14ac:dyDescent="0.25">
      <c r="A24" s="7">
        <v>43497</v>
      </c>
      <c r="B24" s="5">
        <v>11.2</v>
      </c>
      <c r="C24" s="5">
        <v>11.25</v>
      </c>
      <c r="D24" s="5">
        <v>10.96</v>
      </c>
      <c r="E24" s="5">
        <v>11.2</v>
      </c>
      <c r="F24" s="6">
        <v>101427008</v>
      </c>
      <c r="G24" s="5">
        <f t="shared" si="0"/>
        <v>11.136666666666665</v>
      </c>
      <c r="H24" s="6">
        <f t="shared" si="1"/>
        <v>1129558779.0933332</v>
      </c>
      <c r="I24" s="6">
        <f t="shared" si="2"/>
        <v>1129558779.0933332</v>
      </c>
      <c r="J24" s="6">
        <f t="shared" si="3"/>
        <v>0</v>
      </c>
      <c r="K24" s="6">
        <f t="shared" si="4"/>
        <v>9870749173.2799988</v>
      </c>
      <c r="L24" s="6">
        <f t="shared" si="5"/>
        <v>2939299475.9733334</v>
      </c>
      <c r="M24" s="5">
        <f t="shared" si="7"/>
        <v>3.358197847468861</v>
      </c>
      <c r="N24" s="5">
        <f t="shared" si="6"/>
        <v>77.05473604001763</v>
      </c>
    </row>
    <row r="25" spans="1:14" x14ac:dyDescent="0.25">
      <c r="A25" s="7">
        <v>43507</v>
      </c>
      <c r="B25" s="5">
        <v>11.08</v>
      </c>
      <c r="C25" s="5">
        <v>11.21</v>
      </c>
      <c r="D25" s="5">
        <v>10.97</v>
      </c>
      <c r="E25" s="5">
        <v>11.21</v>
      </c>
      <c r="F25" s="6">
        <v>80193664</v>
      </c>
      <c r="G25" s="5">
        <f t="shared" si="0"/>
        <v>11.13</v>
      </c>
      <c r="H25" s="6">
        <f t="shared" si="1"/>
        <v>892555480.32000005</v>
      </c>
      <c r="I25" s="6">
        <f t="shared" si="2"/>
        <v>0</v>
      </c>
      <c r="J25" s="6">
        <f t="shared" si="3"/>
        <v>892555480.32000005</v>
      </c>
      <c r="K25" s="6">
        <f t="shared" si="4"/>
        <v>9317564681.8933334</v>
      </c>
      <c r="L25" s="6">
        <f t="shared" si="5"/>
        <v>3831854956.2933335</v>
      </c>
      <c r="M25" s="5">
        <f t="shared" si="7"/>
        <v>2.4316068296349318</v>
      </c>
      <c r="N25" s="5">
        <f t="shared" si="6"/>
        <v>70.859132480908841</v>
      </c>
    </row>
    <row r="26" spans="1:14" x14ac:dyDescent="0.25">
      <c r="A26" s="7">
        <v>43508</v>
      </c>
      <c r="B26" s="5">
        <v>11.2</v>
      </c>
      <c r="C26" s="5">
        <v>11.31</v>
      </c>
      <c r="D26" s="5">
        <v>11.03</v>
      </c>
      <c r="E26" s="5">
        <v>11.19</v>
      </c>
      <c r="F26" s="6">
        <v>95993688</v>
      </c>
      <c r="G26" s="5">
        <f t="shared" si="0"/>
        <v>11.176666666666668</v>
      </c>
      <c r="H26" s="6">
        <f t="shared" si="1"/>
        <v>1072889452.8800001</v>
      </c>
      <c r="I26" s="6">
        <f t="shared" si="2"/>
        <v>1072889452.8800001</v>
      </c>
      <c r="J26" s="6">
        <f t="shared" si="3"/>
        <v>0</v>
      </c>
      <c r="K26" s="6">
        <f t="shared" si="4"/>
        <v>9373320900.5866661</v>
      </c>
      <c r="L26" s="6">
        <f t="shared" si="5"/>
        <v>3831854956.2933335</v>
      </c>
      <c r="M26" s="5">
        <f t="shared" si="7"/>
        <v>2.4461575418433261</v>
      </c>
      <c r="N26" s="5">
        <f t="shared" si="6"/>
        <v>70.982173976146584</v>
      </c>
    </row>
    <row r="27" spans="1:14" x14ac:dyDescent="0.25">
      <c r="A27" s="7">
        <v>43509</v>
      </c>
      <c r="B27" s="5">
        <v>11.19</v>
      </c>
      <c r="C27" s="5">
        <v>11.41</v>
      </c>
      <c r="D27" s="5">
        <v>11.12</v>
      </c>
      <c r="E27" s="5">
        <v>11.38</v>
      </c>
      <c r="F27" s="6">
        <v>113736576</v>
      </c>
      <c r="G27" s="5">
        <f t="shared" si="0"/>
        <v>11.303333333333335</v>
      </c>
      <c r="H27" s="6">
        <f t="shared" si="1"/>
        <v>1285602430.72</v>
      </c>
      <c r="I27" s="6">
        <f t="shared" si="2"/>
        <v>1285602430.72</v>
      </c>
      <c r="J27" s="6">
        <f t="shared" si="3"/>
        <v>0</v>
      </c>
      <c r="K27" s="6">
        <f t="shared" si="4"/>
        <v>10658923331.306665</v>
      </c>
      <c r="L27" s="6">
        <f t="shared" si="5"/>
        <v>2919910242.9333334</v>
      </c>
      <c r="M27" s="5">
        <f t="shared" si="7"/>
        <v>3.6504284188539788</v>
      </c>
      <c r="N27" s="5">
        <f t="shared" si="6"/>
        <v>78.496604830089325</v>
      </c>
    </row>
    <row r="28" spans="1:14" x14ac:dyDescent="0.25">
      <c r="A28" s="7">
        <v>43510</v>
      </c>
      <c r="B28" s="5">
        <v>11.3</v>
      </c>
      <c r="C28" s="5">
        <v>11.33</v>
      </c>
      <c r="D28" s="5">
        <v>11.19</v>
      </c>
      <c r="E28" s="5">
        <v>11.25</v>
      </c>
      <c r="F28" s="6">
        <v>86918520</v>
      </c>
      <c r="G28" s="5">
        <f t="shared" si="0"/>
        <v>11.256666666666666</v>
      </c>
      <c r="H28" s="6">
        <f t="shared" si="1"/>
        <v>978412806.79999995</v>
      </c>
      <c r="I28" s="6">
        <f t="shared" si="2"/>
        <v>0</v>
      </c>
      <c r="J28" s="6">
        <f t="shared" si="3"/>
        <v>978412806.79999995</v>
      </c>
      <c r="K28" s="6">
        <f t="shared" si="4"/>
        <v>9890578320.1066666</v>
      </c>
      <c r="L28" s="6">
        <f t="shared" si="5"/>
        <v>3898323049.7333336</v>
      </c>
      <c r="M28" s="5">
        <f t="shared" si="7"/>
        <v>2.5371366595139508</v>
      </c>
      <c r="N28" s="5">
        <f t="shared" si="6"/>
        <v>71.728544971247644</v>
      </c>
    </row>
    <row r="29" spans="1:14" x14ac:dyDescent="0.25">
      <c r="A29" s="7">
        <v>43511</v>
      </c>
      <c r="B29" s="5">
        <v>11.23</v>
      </c>
      <c r="C29" s="5">
        <v>11.23</v>
      </c>
      <c r="D29" s="5">
        <v>10.9</v>
      </c>
      <c r="E29" s="5">
        <v>10.95</v>
      </c>
      <c r="F29" s="6">
        <v>110012744</v>
      </c>
      <c r="G29" s="5">
        <f t="shared" si="0"/>
        <v>11.026666666666666</v>
      </c>
      <c r="H29" s="6">
        <f t="shared" si="1"/>
        <v>1213073857.1733332</v>
      </c>
      <c r="I29" s="6">
        <f t="shared" si="2"/>
        <v>0</v>
      </c>
      <c r="J29" s="6">
        <f t="shared" si="3"/>
        <v>1213073857.1733332</v>
      </c>
      <c r="K29" s="6">
        <f t="shared" si="4"/>
        <v>9890578320.1066666</v>
      </c>
      <c r="L29" s="6">
        <f t="shared" si="5"/>
        <v>4427205413.2799997</v>
      </c>
      <c r="M29" s="5">
        <f t="shared" si="7"/>
        <v>2.2340454975137458</v>
      </c>
      <c r="N29" s="5">
        <f t="shared" si="6"/>
        <v>69.078975519398995</v>
      </c>
    </row>
    <row r="30" spans="1:14" x14ac:dyDescent="0.25">
      <c r="A30" s="7">
        <v>43514</v>
      </c>
      <c r="B30" s="5">
        <v>11.05</v>
      </c>
      <c r="C30" s="5">
        <v>11.36</v>
      </c>
      <c r="D30" s="5">
        <v>11.04</v>
      </c>
      <c r="E30" s="5">
        <v>11.36</v>
      </c>
      <c r="F30" s="6">
        <v>125552224</v>
      </c>
      <c r="G30" s="5">
        <f t="shared" si="0"/>
        <v>11.253333333333332</v>
      </c>
      <c r="H30" s="6">
        <f t="shared" si="1"/>
        <v>1412881027.4133332</v>
      </c>
      <c r="I30" s="6">
        <f t="shared" si="2"/>
        <v>1412881027.4133332</v>
      </c>
      <c r="J30" s="6">
        <f t="shared" si="3"/>
        <v>0</v>
      </c>
      <c r="K30" s="6">
        <f t="shared" si="4"/>
        <v>11303459347.52</v>
      </c>
      <c r="L30" s="6">
        <f t="shared" si="5"/>
        <v>3988927676.9866667</v>
      </c>
      <c r="M30" s="5">
        <f t="shared" si="7"/>
        <v>2.8337087715911937</v>
      </c>
      <c r="N30" s="5">
        <f t="shared" si="6"/>
        <v>73.915598195401088</v>
      </c>
    </row>
    <row r="31" spans="1:14" x14ac:dyDescent="0.25">
      <c r="A31" s="7">
        <v>43515</v>
      </c>
      <c r="B31" s="5">
        <v>11.36</v>
      </c>
      <c r="C31" s="5">
        <v>11.62</v>
      </c>
      <c r="D31" s="5">
        <v>11.24</v>
      </c>
      <c r="E31" s="5">
        <v>11.27</v>
      </c>
      <c r="F31" s="6">
        <v>127088208</v>
      </c>
      <c r="G31" s="5">
        <f t="shared" si="0"/>
        <v>11.376666666666665</v>
      </c>
      <c r="H31" s="6">
        <f t="shared" si="1"/>
        <v>1445840179.6799998</v>
      </c>
      <c r="I31" s="6">
        <f t="shared" si="2"/>
        <v>1445840179.6799998</v>
      </c>
      <c r="J31" s="6">
        <f t="shared" si="3"/>
        <v>0</v>
      </c>
      <c r="K31" s="6">
        <f t="shared" si="4"/>
        <v>12191521451.52</v>
      </c>
      <c r="L31" s="6">
        <f t="shared" si="5"/>
        <v>3988927676.9866667</v>
      </c>
      <c r="M31" s="5">
        <f t="shared" si="7"/>
        <v>3.0563405603607667</v>
      </c>
      <c r="N31" s="5">
        <f t="shared" si="6"/>
        <v>75.347237611847333</v>
      </c>
    </row>
    <row r="32" spans="1:14" x14ac:dyDescent="0.25">
      <c r="A32" s="7">
        <v>43516</v>
      </c>
      <c r="B32" s="5">
        <v>11.33</v>
      </c>
      <c r="C32" s="5">
        <v>11.53</v>
      </c>
      <c r="D32" s="5">
        <v>11.25</v>
      </c>
      <c r="E32" s="5">
        <v>11.41</v>
      </c>
      <c r="F32" s="6">
        <v>83262984</v>
      </c>
      <c r="G32" s="5">
        <f t="shared" si="0"/>
        <v>11.396666666666667</v>
      </c>
      <c r="H32" s="6">
        <f t="shared" si="1"/>
        <v>948920474.31999993</v>
      </c>
      <c r="I32" s="6">
        <f t="shared" si="2"/>
        <v>948920474.31999993</v>
      </c>
      <c r="J32" s="6">
        <f t="shared" si="3"/>
        <v>0</v>
      </c>
      <c r="K32" s="6">
        <f t="shared" si="4"/>
        <v>12428597483.6</v>
      </c>
      <c r="L32" s="6">
        <f t="shared" si="5"/>
        <v>3988927676.9866667</v>
      </c>
      <c r="M32" s="5">
        <f t="shared" si="7"/>
        <v>3.1157740851769131</v>
      </c>
      <c r="N32" s="5">
        <f t="shared" si="6"/>
        <v>75.703233965111679</v>
      </c>
    </row>
    <row r="33" spans="1:14" x14ac:dyDescent="0.25">
      <c r="A33" s="7">
        <v>43517</v>
      </c>
      <c r="B33" s="5">
        <v>11.38</v>
      </c>
      <c r="C33" s="5">
        <v>11.55</v>
      </c>
      <c r="D33" s="5">
        <v>11.28</v>
      </c>
      <c r="E33" s="5">
        <v>11.36</v>
      </c>
      <c r="F33" s="6">
        <v>75424648</v>
      </c>
      <c r="G33" s="5">
        <f t="shared" si="0"/>
        <v>11.396666666666667</v>
      </c>
      <c r="H33" s="6">
        <f t="shared" si="1"/>
        <v>859589571.70666671</v>
      </c>
      <c r="I33" s="6">
        <f t="shared" si="2"/>
        <v>0</v>
      </c>
      <c r="J33" s="6">
        <f t="shared" si="3"/>
        <v>0</v>
      </c>
      <c r="K33" s="6">
        <f t="shared" si="4"/>
        <v>10138213651.173332</v>
      </c>
      <c r="L33" s="6">
        <f t="shared" si="5"/>
        <v>3988927676.9866667</v>
      </c>
      <c r="M33" s="5">
        <f t="shared" si="7"/>
        <v>2.5415887356553895</v>
      </c>
      <c r="N33" s="5">
        <f t="shared" si="6"/>
        <v>71.764084577851335</v>
      </c>
    </row>
    <row r="34" spans="1:14" x14ac:dyDescent="0.25">
      <c r="A34" s="7">
        <v>43518</v>
      </c>
      <c r="B34" s="5">
        <v>11.35</v>
      </c>
      <c r="C34" s="5">
        <v>11.57</v>
      </c>
      <c r="D34" s="5">
        <v>11.15</v>
      </c>
      <c r="E34" s="5">
        <v>11.54</v>
      </c>
      <c r="F34" s="6">
        <v>118404776</v>
      </c>
      <c r="G34" s="5">
        <f t="shared" si="0"/>
        <v>11.42</v>
      </c>
      <c r="H34" s="6">
        <f t="shared" si="1"/>
        <v>1352182541.9200001</v>
      </c>
      <c r="I34" s="6">
        <f t="shared" si="2"/>
        <v>1352182541.9200001</v>
      </c>
      <c r="J34" s="6">
        <f t="shared" si="3"/>
        <v>0</v>
      </c>
      <c r="K34" s="6">
        <f t="shared" si="4"/>
        <v>10352276670.106667</v>
      </c>
      <c r="L34" s="6">
        <f t="shared" si="5"/>
        <v>3988927676.9866667</v>
      </c>
      <c r="M34" s="5">
        <f t="shared" si="7"/>
        <v>2.5952530375098273</v>
      </c>
      <c r="N34" s="5">
        <f t="shared" si="6"/>
        <v>72.185546064022574</v>
      </c>
    </row>
    <row r="35" spans="1:14" x14ac:dyDescent="0.25">
      <c r="A35" s="7">
        <v>43521</v>
      </c>
      <c r="B35" s="5">
        <v>11.7</v>
      </c>
      <c r="C35" s="5">
        <v>12.64</v>
      </c>
      <c r="D35" s="5">
        <v>11.57</v>
      </c>
      <c r="E35" s="5">
        <v>12.55</v>
      </c>
      <c r="F35" s="6">
        <v>282493504</v>
      </c>
      <c r="G35" s="5">
        <f t="shared" si="0"/>
        <v>12.253333333333336</v>
      </c>
      <c r="H35" s="6">
        <f t="shared" si="1"/>
        <v>3461487069.0133338</v>
      </c>
      <c r="I35" s="6">
        <f t="shared" si="2"/>
        <v>3461487069.0133338</v>
      </c>
      <c r="J35" s="6">
        <f t="shared" si="3"/>
        <v>0</v>
      </c>
      <c r="K35" s="6">
        <f t="shared" si="4"/>
        <v>13813763739.120001</v>
      </c>
      <c r="L35" s="6">
        <f t="shared" si="5"/>
        <v>3084042144.2933331</v>
      </c>
      <c r="M35" s="5">
        <f t="shared" si="7"/>
        <v>4.4791099125155567</v>
      </c>
      <c r="N35" s="5">
        <f t="shared" si="6"/>
        <v>81.748860381213234</v>
      </c>
    </row>
    <row r="36" spans="1:14" x14ac:dyDescent="0.25">
      <c r="A36" s="7">
        <v>43522</v>
      </c>
      <c r="B36" s="5">
        <v>12.55</v>
      </c>
      <c r="C36" s="5">
        <v>12.57</v>
      </c>
      <c r="D36" s="5">
        <v>12.15</v>
      </c>
      <c r="E36" s="5">
        <v>12.2</v>
      </c>
      <c r="F36" s="6">
        <v>201754496</v>
      </c>
      <c r="G36" s="5">
        <f t="shared" si="0"/>
        <v>12.306666666666667</v>
      </c>
      <c r="H36" s="6">
        <f t="shared" si="1"/>
        <v>2482925330.7733335</v>
      </c>
      <c r="I36" s="6">
        <f t="shared" si="2"/>
        <v>2482925330.7733335</v>
      </c>
      <c r="J36" s="6">
        <f t="shared" si="3"/>
        <v>0</v>
      </c>
      <c r="K36" s="6">
        <f t="shared" si="4"/>
        <v>15513725259.573334</v>
      </c>
      <c r="L36" s="6">
        <f t="shared" si="5"/>
        <v>3084042144.2933331</v>
      </c>
      <c r="M36" s="5">
        <f t="shared" si="7"/>
        <v>5.0303220688082053</v>
      </c>
      <c r="N36" s="5">
        <f t="shared" si="6"/>
        <v>83.417137781537534</v>
      </c>
    </row>
    <row r="37" spans="1:14" x14ac:dyDescent="0.25">
      <c r="A37" s="7">
        <v>43523</v>
      </c>
      <c r="B37" s="5">
        <v>12.24</v>
      </c>
      <c r="C37" s="5">
        <v>12.66</v>
      </c>
      <c r="D37" s="5">
        <v>12.15</v>
      </c>
      <c r="E37" s="5">
        <v>12.4</v>
      </c>
      <c r="F37" s="6">
        <v>197901392</v>
      </c>
      <c r="G37" s="5">
        <f t="shared" si="0"/>
        <v>12.403333333333334</v>
      </c>
      <c r="H37" s="6">
        <f t="shared" si="1"/>
        <v>2454636932.106667</v>
      </c>
      <c r="I37" s="6">
        <f t="shared" si="2"/>
        <v>2454636932.106667</v>
      </c>
      <c r="J37" s="6">
        <f t="shared" si="3"/>
        <v>0</v>
      </c>
      <c r="K37" s="6">
        <f t="shared" si="4"/>
        <v>17046924217.920002</v>
      </c>
      <c r="L37" s="6">
        <f t="shared" si="5"/>
        <v>3084042144.2933331</v>
      </c>
      <c r="M37" s="5">
        <f t="shared" si="7"/>
        <v>5.5274615003116558</v>
      </c>
      <c r="N37" s="5">
        <f t="shared" si="6"/>
        <v>84.680108799534793</v>
      </c>
    </row>
    <row r="38" spans="1:14" x14ac:dyDescent="0.25">
      <c r="A38" s="7">
        <v>43524</v>
      </c>
      <c r="B38" s="5">
        <v>12.44</v>
      </c>
      <c r="C38" s="5">
        <v>12.61</v>
      </c>
      <c r="D38" s="5">
        <v>12.27</v>
      </c>
      <c r="E38" s="5">
        <v>12.36</v>
      </c>
      <c r="F38" s="6">
        <v>111309984</v>
      </c>
      <c r="G38" s="5">
        <f t="shared" si="0"/>
        <v>12.413333333333332</v>
      </c>
      <c r="H38" s="6">
        <f t="shared" si="1"/>
        <v>1381727934.7199998</v>
      </c>
      <c r="I38" s="6">
        <f t="shared" si="2"/>
        <v>1381727934.7199998</v>
      </c>
      <c r="J38" s="6">
        <f t="shared" si="3"/>
        <v>0</v>
      </c>
      <c r="K38" s="6">
        <f t="shared" si="4"/>
        <v>17299093373.546669</v>
      </c>
      <c r="L38" s="6">
        <f t="shared" si="5"/>
        <v>3084042144.2933331</v>
      </c>
      <c r="M38" s="5">
        <f t="shared" si="7"/>
        <v>5.6092272946258728</v>
      </c>
      <c r="N38" s="5">
        <f t="shared" si="6"/>
        <v>84.869638228161335</v>
      </c>
    </row>
    <row r="39" spans="1:14" x14ac:dyDescent="0.25">
      <c r="A39" s="7">
        <v>43525</v>
      </c>
      <c r="B39" s="5">
        <v>12.48</v>
      </c>
      <c r="C39" s="5">
        <v>12.78</v>
      </c>
      <c r="D39" s="5">
        <v>12.2</v>
      </c>
      <c r="E39" s="5">
        <v>12.76</v>
      </c>
      <c r="F39" s="6">
        <v>171267920</v>
      </c>
      <c r="G39" s="5">
        <f t="shared" si="0"/>
        <v>12.579999999999998</v>
      </c>
      <c r="H39" s="6">
        <f t="shared" si="1"/>
        <v>2154550433.5999999</v>
      </c>
      <c r="I39" s="6">
        <f t="shared" si="2"/>
        <v>2154550433.5999999</v>
      </c>
      <c r="J39" s="6">
        <f t="shared" si="3"/>
        <v>0</v>
      </c>
      <c r="K39" s="6">
        <f t="shared" si="4"/>
        <v>19453643807.146667</v>
      </c>
      <c r="L39" s="6">
        <f t="shared" si="5"/>
        <v>2191486663.9733334</v>
      </c>
      <c r="M39" s="5">
        <f t="shared" si="7"/>
        <v>8.8769163540679372</v>
      </c>
      <c r="N39" s="5">
        <f t="shared" si="6"/>
        <v>89.875382516648159</v>
      </c>
    </row>
    <row r="40" spans="1:14" x14ac:dyDescent="0.25">
      <c r="A40" s="7">
        <v>43528</v>
      </c>
      <c r="B40" s="5">
        <v>12.7</v>
      </c>
      <c r="C40" s="5">
        <v>13.38</v>
      </c>
      <c r="D40" s="5">
        <v>12.62</v>
      </c>
      <c r="E40" s="5">
        <v>12.99</v>
      </c>
      <c r="F40" s="6">
        <v>245683040</v>
      </c>
      <c r="G40" s="5">
        <f t="shared" si="0"/>
        <v>12.996666666666668</v>
      </c>
      <c r="H40" s="6">
        <f t="shared" si="1"/>
        <v>3193060576.5333338</v>
      </c>
      <c r="I40" s="6">
        <f t="shared" si="2"/>
        <v>3193060576.5333338</v>
      </c>
      <c r="J40" s="6">
        <f t="shared" si="3"/>
        <v>0</v>
      </c>
      <c r="K40" s="6">
        <f t="shared" si="4"/>
        <v>21573814930.799999</v>
      </c>
      <c r="L40" s="6">
        <f t="shared" si="5"/>
        <v>2191486663.9733334</v>
      </c>
      <c r="M40" s="5">
        <f t="shared" si="7"/>
        <v>9.8443742713382605</v>
      </c>
      <c r="N40" s="5">
        <f t="shared" si="6"/>
        <v>90.778628854197649</v>
      </c>
    </row>
    <row r="41" spans="1:14" x14ac:dyDescent="0.25">
      <c r="A41" s="7">
        <v>43529</v>
      </c>
      <c r="B41" s="5">
        <v>12.91</v>
      </c>
      <c r="C41" s="5">
        <v>13.29</v>
      </c>
      <c r="D41" s="5">
        <v>12.84</v>
      </c>
      <c r="E41" s="5">
        <v>13.06</v>
      </c>
      <c r="F41" s="6">
        <v>140842224</v>
      </c>
      <c r="G41" s="5">
        <f t="shared" si="0"/>
        <v>13.063333333333333</v>
      </c>
      <c r="H41" s="6">
        <f t="shared" si="1"/>
        <v>1839868919.52</v>
      </c>
      <c r="I41" s="6">
        <f t="shared" si="2"/>
        <v>1839868919.52</v>
      </c>
      <c r="J41" s="6">
        <f t="shared" si="3"/>
        <v>0</v>
      </c>
      <c r="K41" s="6">
        <f t="shared" si="4"/>
        <v>22128081419.599998</v>
      </c>
      <c r="L41" s="6">
        <f t="shared" si="5"/>
        <v>2191486663.9733334</v>
      </c>
      <c r="M41" s="5">
        <f t="shared" si="7"/>
        <v>10.097292300871269</v>
      </c>
      <c r="N41" s="5">
        <f t="shared" si="6"/>
        <v>90.988792825422038</v>
      </c>
    </row>
    <row r="42" spans="1:14" x14ac:dyDescent="0.25">
      <c r="A42" s="7">
        <v>43530</v>
      </c>
      <c r="B42" s="5">
        <v>13.06</v>
      </c>
      <c r="C42" s="5">
        <v>13.15</v>
      </c>
      <c r="D42" s="5">
        <v>12.84</v>
      </c>
      <c r="E42" s="5">
        <v>13.08</v>
      </c>
      <c r="F42" s="6">
        <v>124576016</v>
      </c>
      <c r="G42" s="5">
        <f t="shared" si="0"/>
        <v>13.023333333333333</v>
      </c>
      <c r="H42" s="6">
        <f t="shared" si="1"/>
        <v>1622394981.7066667</v>
      </c>
      <c r="I42" s="6">
        <f t="shared" si="2"/>
        <v>0</v>
      </c>
      <c r="J42" s="6">
        <f t="shared" si="3"/>
        <v>1622394981.7066667</v>
      </c>
      <c r="K42" s="6">
        <f t="shared" si="4"/>
        <v>22128081419.599998</v>
      </c>
      <c r="L42" s="6">
        <f t="shared" si="5"/>
        <v>2835468838.8800001</v>
      </c>
      <c r="M42" s="5">
        <f t="shared" si="7"/>
        <v>7.8040291313307151</v>
      </c>
      <c r="N42" s="5">
        <f t="shared" si="6"/>
        <v>88.641564162466011</v>
      </c>
    </row>
    <row r="43" spans="1:14" x14ac:dyDescent="0.25">
      <c r="A43" s="7">
        <v>43531</v>
      </c>
      <c r="B43" s="5">
        <v>13.06</v>
      </c>
      <c r="C43" s="5">
        <v>13.06</v>
      </c>
      <c r="D43" s="5">
        <v>12.55</v>
      </c>
      <c r="E43" s="5">
        <v>12.74</v>
      </c>
      <c r="F43" s="6">
        <v>178205728</v>
      </c>
      <c r="G43" s="5">
        <f t="shared" si="0"/>
        <v>12.783333333333333</v>
      </c>
      <c r="H43" s="6">
        <f t="shared" si="1"/>
        <v>2278063222.9333334</v>
      </c>
      <c r="I43" s="6">
        <f t="shared" si="2"/>
        <v>0</v>
      </c>
      <c r="J43" s="6">
        <f t="shared" si="3"/>
        <v>2278063222.9333334</v>
      </c>
      <c r="K43" s="6">
        <f t="shared" si="4"/>
        <v>22128081419.599998</v>
      </c>
      <c r="L43" s="6">
        <f t="shared" si="5"/>
        <v>3900458204.6400003</v>
      </c>
      <c r="M43" s="5">
        <f t="shared" si="7"/>
        <v>5.6732004955921198</v>
      </c>
      <c r="N43" s="5">
        <f t="shared" si="6"/>
        <v>85.014686721003898</v>
      </c>
    </row>
    <row r="44" spans="1:14" x14ac:dyDescent="0.25">
      <c r="A44" s="7">
        <v>43532</v>
      </c>
      <c r="B44" s="5">
        <v>12.49</v>
      </c>
      <c r="C44" s="5">
        <v>12.7</v>
      </c>
      <c r="D44" s="5">
        <v>12.25</v>
      </c>
      <c r="E44" s="5">
        <v>12.3</v>
      </c>
      <c r="F44" s="6">
        <v>177816208</v>
      </c>
      <c r="G44" s="5">
        <f t="shared" si="0"/>
        <v>12.416666666666666</v>
      </c>
      <c r="H44" s="6">
        <f t="shared" si="1"/>
        <v>2207884582.6666665</v>
      </c>
      <c r="I44" s="6">
        <f t="shared" si="2"/>
        <v>0</v>
      </c>
      <c r="J44" s="6">
        <f t="shared" si="3"/>
        <v>2207884582.6666665</v>
      </c>
      <c r="K44" s="6">
        <f t="shared" si="4"/>
        <v>20715200392.186668</v>
      </c>
      <c r="L44" s="6">
        <f t="shared" si="5"/>
        <v>6108342787.3066673</v>
      </c>
      <c r="M44" s="5">
        <f t="shared" si="7"/>
        <v>3.391296316119246</v>
      </c>
      <c r="N44" s="5">
        <f t="shared" si="6"/>
        <v>77.227681121647976</v>
      </c>
    </row>
    <row r="45" spans="1:14" x14ac:dyDescent="0.25">
      <c r="A45" s="7">
        <v>43535</v>
      </c>
      <c r="B45" s="5">
        <v>12.3</v>
      </c>
      <c r="C45" s="5">
        <v>12.49</v>
      </c>
      <c r="D45" s="5">
        <v>12.05</v>
      </c>
      <c r="E45" s="5">
        <v>12.32</v>
      </c>
      <c r="F45" s="6">
        <v>115765080</v>
      </c>
      <c r="G45" s="5">
        <f t="shared" si="0"/>
        <v>12.286666666666667</v>
      </c>
      <c r="H45" s="6">
        <f t="shared" si="1"/>
        <v>1422366949.6000001</v>
      </c>
      <c r="I45" s="6">
        <f t="shared" si="2"/>
        <v>0</v>
      </c>
      <c r="J45" s="6">
        <f t="shared" si="3"/>
        <v>1422366949.6000001</v>
      </c>
      <c r="K45" s="6">
        <f t="shared" si="4"/>
        <v>19269360212.506668</v>
      </c>
      <c r="L45" s="6">
        <f t="shared" si="5"/>
        <v>7530709736.9066677</v>
      </c>
      <c r="M45" s="5">
        <f t="shared" si="7"/>
        <v>2.5587708045725046</v>
      </c>
      <c r="N45" s="5">
        <f t="shared" si="6"/>
        <v>71.900410143998457</v>
      </c>
    </row>
    <row r="46" spans="1:14" x14ac:dyDescent="0.25">
      <c r="A46" s="7">
        <v>43536</v>
      </c>
      <c r="B46" s="5">
        <v>12.49</v>
      </c>
      <c r="C46" s="5">
        <v>12.64</v>
      </c>
      <c r="D46" s="5">
        <v>12.24</v>
      </c>
      <c r="E46" s="5">
        <v>12.36</v>
      </c>
      <c r="F46" s="6">
        <v>141179488</v>
      </c>
      <c r="G46" s="5">
        <f t="shared" si="0"/>
        <v>12.413333333333334</v>
      </c>
      <c r="H46" s="6">
        <f t="shared" si="1"/>
        <v>1752508044.3733335</v>
      </c>
      <c r="I46" s="6">
        <f t="shared" si="2"/>
        <v>1752508044.3733335</v>
      </c>
      <c r="J46" s="6">
        <f t="shared" si="3"/>
        <v>0</v>
      </c>
      <c r="K46" s="6">
        <f t="shared" si="4"/>
        <v>20072947782.560001</v>
      </c>
      <c r="L46" s="6">
        <f t="shared" si="5"/>
        <v>7530709736.9066677</v>
      </c>
      <c r="M46" s="5">
        <f t="shared" si="7"/>
        <v>2.6654788836417445</v>
      </c>
      <c r="N46" s="5">
        <f t="shared" si="6"/>
        <v>72.718435114637046</v>
      </c>
    </row>
    <row r="47" spans="1:14" x14ac:dyDescent="0.25">
      <c r="A47" s="7">
        <v>43537</v>
      </c>
      <c r="B47" s="5">
        <v>12.34</v>
      </c>
      <c r="C47" s="5">
        <v>12.55</v>
      </c>
      <c r="D47" s="5">
        <v>12.13</v>
      </c>
      <c r="E47" s="5">
        <v>12.37</v>
      </c>
      <c r="F47" s="6">
        <v>126942720</v>
      </c>
      <c r="G47" s="5">
        <f t="shared" si="0"/>
        <v>12.35</v>
      </c>
      <c r="H47" s="6">
        <f t="shared" si="1"/>
        <v>1567742592</v>
      </c>
      <c r="I47" s="6">
        <f t="shared" si="2"/>
        <v>0</v>
      </c>
      <c r="J47" s="6">
        <f t="shared" si="3"/>
        <v>1567742592</v>
      </c>
      <c r="K47" s="6">
        <f t="shared" si="4"/>
        <v>20072947782.560001</v>
      </c>
      <c r="L47" s="6">
        <f t="shared" si="5"/>
        <v>9098452328.9066677</v>
      </c>
      <c r="M47" s="5">
        <f t="shared" si="7"/>
        <v>2.2061936532641155</v>
      </c>
      <c r="N47" s="5">
        <f t="shared" si="6"/>
        <v>68.810368051788316</v>
      </c>
    </row>
    <row r="48" spans="1:14" x14ac:dyDescent="0.25">
      <c r="A48" s="7">
        <v>43538</v>
      </c>
      <c r="B48" s="5">
        <v>12.33</v>
      </c>
      <c r="C48" s="5">
        <v>12.62</v>
      </c>
      <c r="D48" s="5">
        <v>12.27</v>
      </c>
      <c r="E48" s="5">
        <v>12.43</v>
      </c>
      <c r="F48" s="6">
        <v>105746792</v>
      </c>
      <c r="G48" s="5">
        <f t="shared" si="0"/>
        <v>12.44</v>
      </c>
      <c r="H48" s="6">
        <f t="shared" si="1"/>
        <v>1315490092.48</v>
      </c>
      <c r="I48" s="6">
        <f t="shared" si="2"/>
        <v>1315490092.48</v>
      </c>
      <c r="J48" s="6">
        <f t="shared" si="3"/>
        <v>0</v>
      </c>
      <c r="K48" s="6">
        <f t="shared" si="4"/>
        <v>20036255333.119999</v>
      </c>
      <c r="L48" s="6">
        <f t="shared" si="5"/>
        <v>9098452328.9066677</v>
      </c>
      <c r="M48" s="5">
        <f t="shared" si="7"/>
        <v>2.2021608300856692</v>
      </c>
      <c r="N48" s="5">
        <f t="shared" si="6"/>
        <v>68.771087616693933</v>
      </c>
    </row>
    <row r="49" spans="1:14" x14ac:dyDescent="0.25">
      <c r="A49" s="7">
        <v>43539</v>
      </c>
      <c r="B49" s="5">
        <v>12.34</v>
      </c>
      <c r="C49" s="5">
        <v>12.68</v>
      </c>
      <c r="D49" s="5">
        <v>12.34</v>
      </c>
      <c r="E49" s="5">
        <v>12.5</v>
      </c>
      <c r="F49" s="6">
        <v>104540600</v>
      </c>
      <c r="G49" s="5">
        <f t="shared" si="0"/>
        <v>12.506666666666666</v>
      </c>
      <c r="H49" s="6">
        <f t="shared" si="1"/>
        <v>1307454437.3333333</v>
      </c>
      <c r="I49" s="6">
        <f t="shared" si="2"/>
        <v>1307454437.3333333</v>
      </c>
      <c r="J49" s="6">
        <f t="shared" si="3"/>
        <v>0</v>
      </c>
      <c r="K49" s="6">
        <f t="shared" si="4"/>
        <v>17882222701.439999</v>
      </c>
      <c r="L49" s="6">
        <f t="shared" si="5"/>
        <v>9098452328.9066677</v>
      </c>
      <c r="M49" s="5">
        <f t="shared" si="7"/>
        <v>1.9654136830091904</v>
      </c>
      <c r="N49" s="5">
        <f t="shared" si="6"/>
        <v>66.277892162916118</v>
      </c>
    </row>
    <row r="50" spans="1:14" x14ac:dyDescent="0.25">
      <c r="A50" s="7">
        <v>43542</v>
      </c>
      <c r="B50" s="5">
        <v>12.53</v>
      </c>
      <c r="C50" s="5">
        <v>12.94</v>
      </c>
      <c r="D50" s="5">
        <v>12.32</v>
      </c>
      <c r="E50" s="5">
        <v>12.91</v>
      </c>
      <c r="F50" s="6">
        <v>148645472</v>
      </c>
      <c r="G50" s="5">
        <f t="shared" si="0"/>
        <v>12.723333333333334</v>
      </c>
      <c r="H50" s="6">
        <f t="shared" si="1"/>
        <v>1891265888.7466669</v>
      </c>
      <c r="I50" s="6">
        <f t="shared" si="2"/>
        <v>1891265888.7466669</v>
      </c>
      <c r="J50" s="6">
        <f t="shared" si="3"/>
        <v>0</v>
      </c>
      <c r="K50" s="6">
        <f t="shared" si="4"/>
        <v>17290563259.413334</v>
      </c>
      <c r="L50" s="6">
        <f t="shared" si="5"/>
        <v>9098452328.9066677</v>
      </c>
      <c r="M50" s="5">
        <f t="shared" si="7"/>
        <v>1.9003851022529989</v>
      </c>
      <c r="N50" s="5">
        <f t="shared" si="6"/>
        <v>65.521819870636932</v>
      </c>
    </row>
    <row r="51" spans="1:14" x14ac:dyDescent="0.25">
      <c r="A51" s="7">
        <v>43543</v>
      </c>
      <c r="B51" s="5">
        <v>12.92</v>
      </c>
      <c r="C51" s="5">
        <v>12.94</v>
      </c>
      <c r="D51" s="5">
        <v>12.61</v>
      </c>
      <c r="E51" s="5">
        <v>12.79</v>
      </c>
      <c r="F51" s="6">
        <v>95719648</v>
      </c>
      <c r="G51" s="5">
        <f t="shared" si="0"/>
        <v>12.78</v>
      </c>
      <c r="H51" s="6">
        <f t="shared" si="1"/>
        <v>1223297101.4400001</v>
      </c>
      <c r="I51" s="6">
        <f t="shared" si="2"/>
        <v>1223297101.4400001</v>
      </c>
      <c r="J51" s="6">
        <f t="shared" si="3"/>
        <v>0</v>
      </c>
      <c r="K51" s="6">
        <f t="shared" si="4"/>
        <v>16059223428.746668</v>
      </c>
      <c r="L51" s="6">
        <f t="shared" si="5"/>
        <v>9098452328.9066677</v>
      </c>
      <c r="M51" s="5">
        <f t="shared" si="7"/>
        <v>1.7650500160038156</v>
      </c>
      <c r="N51" s="5">
        <f t="shared" si="6"/>
        <v>63.834288920196514</v>
      </c>
    </row>
    <row r="52" spans="1:14" x14ac:dyDescent="0.25">
      <c r="A52" s="7">
        <v>43544</v>
      </c>
      <c r="B52" s="5">
        <v>12.68</v>
      </c>
      <c r="C52" s="5">
        <v>12.88</v>
      </c>
      <c r="D52" s="5">
        <v>12.62</v>
      </c>
      <c r="E52" s="5">
        <v>12.75</v>
      </c>
      <c r="F52" s="6">
        <v>92999640</v>
      </c>
      <c r="G52" s="5">
        <f t="shared" si="0"/>
        <v>12.75</v>
      </c>
      <c r="H52" s="6">
        <f t="shared" si="1"/>
        <v>1185745410</v>
      </c>
      <c r="I52" s="6">
        <f t="shared" si="2"/>
        <v>0</v>
      </c>
      <c r="J52" s="6">
        <f t="shared" si="3"/>
        <v>1185745410</v>
      </c>
      <c r="K52" s="6">
        <f t="shared" si="4"/>
        <v>14677495494.026667</v>
      </c>
      <c r="L52" s="6">
        <f t="shared" si="5"/>
        <v>10284197738.906668</v>
      </c>
      <c r="M52" s="5">
        <f t="shared" si="7"/>
        <v>1.427189156281923</v>
      </c>
      <c r="N52" s="5">
        <f t="shared" si="6"/>
        <v>58.800079614238022</v>
      </c>
    </row>
    <row r="53" spans="1:14" x14ac:dyDescent="0.25">
      <c r="A53" s="7">
        <v>43545</v>
      </c>
      <c r="B53" s="5">
        <v>12.77</v>
      </c>
      <c r="C53" s="5">
        <v>12.8</v>
      </c>
      <c r="D53" s="5">
        <v>12.58</v>
      </c>
      <c r="E53" s="5">
        <v>12.69</v>
      </c>
      <c r="F53" s="6">
        <v>86014080</v>
      </c>
      <c r="G53" s="5">
        <f t="shared" si="0"/>
        <v>12.69</v>
      </c>
      <c r="H53" s="6">
        <f t="shared" si="1"/>
        <v>1091518675.2</v>
      </c>
      <c r="I53" s="6">
        <f t="shared" si="2"/>
        <v>0</v>
      </c>
      <c r="J53" s="6">
        <f t="shared" si="3"/>
        <v>1091518675.2</v>
      </c>
      <c r="K53" s="6">
        <f t="shared" si="4"/>
        <v>12522945060.426668</v>
      </c>
      <c r="L53" s="6">
        <f t="shared" si="5"/>
        <v>11375716414.106668</v>
      </c>
      <c r="M53" s="5">
        <f t="shared" si="7"/>
        <v>1.1008489139987137</v>
      </c>
      <c r="N53" s="5">
        <f t="shared" si="6"/>
        <v>52.4001943530237</v>
      </c>
    </row>
    <row r="54" spans="1:14" x14ac:dyDescent="0.25">
      <c r="A54" s="7">
        <v>43546</v>
      </c>
      <c r="B54" s="5">
        <v>12.69</v>
      </c>
      <c r="C54" s="5">
        <v>12.74</v>
      </c>
      <c r="D54" s="5">
        <v>12.5</v>
      </c>
      <c r="E54" s="5">
        <v>12.59</v>
      </c>
      <c r="F54" s="6">
        <v>71350208</v>
      </c>
      <c r="G54" s="5">
        <f t="shared" si="0"/>
        <v>12.61</v>
      </c>
      <c r="H54" s="6">
        <f t="shared" si="1"/>
        <v>899726122.88</v>
      </c>
      <c r="I54" s="6">
        <f t="shared" si="2"/>
        <v>0</v>
      </c>
      <c r="J54" s="6">
        <f t="shared" si="3"/>
        <v>899726122.88</v>
      </c>
      <c r="K54" s="6">
        <f t="shared" si="4"/>
        <v>9329884483.8933334</v>
      </c>
      <c r="L54" s="6">
        <f t="shared" si="5"/>
        <v>12275442536.986668</v>
      </c>
      <c r="M54" s="5">
        <f t="shared" si="7"/>
        <v>0.76004465466575355</v>
      </c>
      <c r="N54" s="5">
        <f t="shared" si="6"/>
        <v>43.183259734401005</v>
      </c>
    </row>
    <row r="55" spans="1:14" x14ac:dyDescent="0.25">
      <c r="A55" s="7">
        <v>43549</v>
      </c>
      <c r="B55" s="5">
        <v>12.4</v>
      </c>
      <c r="C55" s="5">
        <v>12.4</v>
      </c>
      <c r="D55" s="5">
        <v>12.1</v>
      </c>
      <c r="E55" s="5">
        <v>12.11</v>
      </c>
      <c r="F55" s="6">
        <v>117988328</v>
      </c>
      <c r="G55" s="5">
        <f t="shared" si="0"/>
        <v>12.203333333333333</v>
      </c>
      <c r="H55" s="6">
        <f t="shared" si="1"/>
        <v>1439850896.0266666</v>
      </c>
      <c r="I55" s="6">
        <f t="shared" si="2"/>
        <v>0</v>
      </c>
      <c r="J55" s="6">
        <f t="shared" si="3"/>
        <v>1439850896.0266666</v>
      </c>
      <c r="K55" s="6">
        <f t="shared" si="4"/>
        <v>7490015564.373333</v>
      </c>
      <c r="L55" s="6">
        <f t="shared" si="5"/>
        <v>13715293433.013334</v>
      </c>
      <c r="M55" s="5">
        <f t="shared" si="7"/>
        <v>0.54610684058312053</v>
      </c>
      <c r="N55" s="5">
        <f t="shared" si="6"/>
        <v>35.321416751325799</v>
      </c>
    </row>
    <row r="56" spans="1:14" x14ac:dyDescent="0.25">
      <c r="A56" s="7">
        <v>43550</v>
      </c>
      <c r="B56" s="5">
        <v>12.23</v>
      </c>
      <c r="C56" s="5">
        <v>12.29</v>
      </c>
      <c r="D56" s="5">
        <v>12.01</v>
      </c>
      <c r="E56" s="5">
        <v>12.1</v>
      </c>
      <c r="F56" s="6">
        <v>93539328</v>
      </c>
      <c r="G56" s="5">
        <f t="shared" si="0"/>
        <v>12.133333333333333</v>
      </c>
      <c r="H56" s="6">
        <f t="shared" si="1"/>
        <v>1134943846.3999999</v>
      </c>
      <c r="I56" s="6">
        <f t="shared" si="2"/>
        <v>0</v>
      </c>
      <c r="J56" s="6">
        <f t="shared" si="3"/>
        <v>1134943846.3999999</v>
      </c>
      <c r="K56" s="6">
        <f t="shared" si="4"/>
        <v>7490015564.373333</v>
      </c>
      <c r="L56" s="6">
        <f t="shared" si="5"/>
        <v>13227842297.706667</v>
      </c>
      <c r="M56" s="5">
        <f t="shared" si="7"/>
        <v>0.56623109013568218</v>
      </c>
      <c r="N56" s="5">
        <f t="shared" si="6"/>
        <v>36.152461389757605</v>
      </c>
    </row>
    <row r="57" spans="1:14" x14ac:dyDescent="0.25">
      <c r="A57" s="7">
        <v>43551</v>
      </c>
      <c r="B57" s="5">
        <v>12.24</v>
      </c>
      <c r="C57" s="5">
        <v>12.47</v>
      </c>
      <c r="D57" s="5">
        <v>12.18</v>
      </c>
      <c r="E57" s="5">
        <v>12.38</v>
      </c>
      <c r="F57" s="6">
        <v>92282680</v>
      </c>
      <c r="G57" s="5">
        <f t="shared" si="0"/>
        <v>12.343333333333334</v>
      </c>
      <c r="H57" s="6">
        <f t="shared" si="1"/>
        <v>1139075880.1333334</v>
      </c>
      <c r="I57" s="6">
        <f t="shared" si="2"/>
        <v>1139075880.1333334</v>
      </c>
      <c r="J57" s="6">
        <f t="shared" si="3"/>
        <v>0</v>
      </c>
      <c r="K57" s="6">
        <f t="shared" si="4"/>
        <v>8629091444.5066662</v>
      </c>
      <c r="L57" s="6">
        <f t="shared" si="5"/>
        <v>10949779074.773333</v>
      </c>
      <c r="M57" s="5">
        <f t="shared" si="7"/>
        <v>0.78806078054915407</v>
      </c>
      <c r="N57" s="5">
        <f t="shared" si="6"/>
        <v>44.073489510078211</v>
      </c>
    </row>
    <row r="58" spans="1:14" x14ac:dyDescent="0.25">
      <c r="A58" s="7">
        <v>43552</v>
      </c>
      <c r="B58" s="5">
        <v>12.31</v>
      </c>
      <c r="C58" s="5">
        <v>12.31</v>
      </c>
      <c r="D58" s="5">
        <v>12.1</v>
      </c>
      <c r="E58" s="5">
        <v>12.22</v>
      </c>
      <c r="F58" s="6">
        <v>73246744</v>
      </c>
      <c r="G58" s="5">
        <f t="shared" si="0"/>
        <v>12.21</v>
      </c>
      <c r="H58" s="6">
        <f t="shared" si="1"/>
        <v>894342744.24000001</v>
      </c>
      <c r="I58" s="6">
        <f t="shared" si="2"/>
        <v>0</v>
      </c>
      <c r="J58" s="6">
        <f t="shared" si="3"/>
        <v>894342744.24000001</v>
      </c>
      <c r="K58" s="6">
        <f t="shared" si="4"/>
        <v>8629091444.5066662</v>
      </c>
      <c r="L58" s="6">
        <f t="shared" si="5"/>
        <v>9636237236.3466663</v>
      </c>
      <c r="M58" s="5">
        <f t="shared" si="7"/>
        <v>0.89548349971696695</v>
      </c>
      <c r="N58" s="5">
        <f t="shared" si="6"/>
        <v>47.243012131241464</v>
      </c>
    </row>
    <row r="59" spans="1:14" x14ac:dyDescent="0.25">
      <c r="A59" s="7">
        <v>43553</v>
      </c>
      <c r="B59" s="5">
        <v>12.26</v>
      </c>
      <c r="C59" s="5">
        <v>12.82</v>
      </c>
      <c r="D59" s="5">
        <v>12.21</v>
      </c>
      <c r="E59" s="5">
        <v>12.82</v>
      </c>
      <c r="F59" s="6">
        <v>166950640</v>
      </c>
      <c r="G59" s="5">
        <f t="shared" si="0"/>
        <v>12.616666666666667</v>
      </c>
      <c r="H59" s="6">
        <f t="shared" si="1"/>
        <v>2106360574.6666667</v>
      </c>
      <c r="I59" s="6">
        <f t="shared" si="2"/>
        <v>2106360574.6666667</v>
      </c>
      <c r="J59" s="6">
        <f t="shared" si="3"/>
        <v>0</v>
      </c>
      <c r="K59" s="6">
        <f t="shared" si="4"/>
        <v>10735452019.173332</v>
      </c>
      <c r="L59" s="6">
        <f t="shared" si="5"/>
        <v>8213870286.746666</v>
      </c>
      <c r="M59" s="5">
        <f t="shared" si="7"/>
        <v>1.3069906931078905</v>
      </c>
      <c r="N59" s="5">
        <f t="shared" si="6"/>
        <v>56.65348789713417</v>
      </c>
    </row>
    <row r="60" spans="1:14" x14ac:dyDescent="0.25">
      <c r="A60" s="7">
        <v>43556</v>
      </c>
      <c r="B60" s="5">
        <v>12.83</v>
      </c>
      <c r="C60" s="5">
        <v>13.55</v>
      </c>
      <c r="D60" s="5">
        <v>12.83</v>
      </c>
      <c r="E60" s="5">
        <v>13.18</v>
      </c>
      <c r="F60" s="6">
        <v>195140112</v>
      </c>
      <c r="G60" s="5">
        <f t="shared" si="0"/>
        <v>13.186666666666667</v>
      </c>
      <c r="H60" s="6">
        <f t="shared" si="1"/>
        <v>2573247610.2400002</v>
      </c>
      <c r="I60" s="6">
        <f t="shared" si="2"/>
        <v>2573247610.2400002</v>
      </c>
      <c r="J60" s="6">
        <f t="shared" si="3"/>
        <v>0</v>
      </c>
      <c r="K60" s="6">
        <f t="shared" si="4"/>
        <v>11556191585.039999</v>
      </c>
      <c r="L60" s="6">
        <f t="shared" si="5"/>
        <v>8213870286.746666</v>
      </c>
      <c r="M60" s="5">
        <f t="shared" si="7"/>
        <v>1.4069118675621493</v>
      </c>
      <c r="N60" s="5">
        <f t="shared" si="6"/>
        <v>58.452986439721442</v>
      </c>
    </row>
    <row r="61" spans="1:14" x14ac:dyDescent="0.25">
      <c r="A61" s="7">
        <v>43557</v>
      </c>
      <c r="B61" s="5">
        <v>13.28</v>
      </c>
      <c r="C61" s="5">
        <v>13.48</v>
      </c>
      <c r="D61" s="5">
        <v>13.23</v>
      </c>
      <c r="E61" s="5">
        <v>13.36</v>
      </c>
      <c r="F61" s="6">
        <v>110038400</v>
      </c>
      <c r="G61" s="5">
        <f t="shared" si="0"/>
        <v>13.356666666666667</v>
      </c>
      <c r="H61" s="6">
        <f t="shared" si="1"/>
        <v>1469746229.3333335</v>
      </c>
      <c r="I61" s="6">
        <f t="shared" si="2"/>
        <v>1469746229.3333335</v>
      </c>
      <c r="J61" s="6">
        <f t="shared" si="3"/>
        <v>0</v>
      </c>
      <c r="K61" s="6">
        <f t="shared" si="4"/>
        <v>13025937814.373333</v>
      </c>
      <c r="L61" s="6">
        <f t="shared" si="5"/>
        <v>6646127694.746666</v>
      </c>
      <c r="M61" s="5">
        <f t="shared" si="7"/>
        <v>1.9599289108858824</v>
      </c>
      <c r="N61" s="5">
        <f t="shared" si="6"/>
        <v>66.215404825357496</v>
      </c>
    </row>
    <row r="62" spans="1:14" x14ac:dyDescent="0.25">
      <c r="A62" s="7">
        <v>43558</v>
      </c>
      <c r="B62" s="5">
        <v>13.21</v>
      </c>
      <c r="C62" s="5">
        <v>13.45</v>
      </c>
      <c r="D62" s="5">
        <v>13.15</v>
      </c>
      <c r="E62" s="5">
        <v>13.44</v>
      </c>
      <c r="F62" s="6">
        <v>79291576</v>
      </c>
      <c r="G62" s="5">
        <f t="shared" si="0"/>
        <v>13.346666666666666</v>
      </c>
      <c r="H62" s="6">
        <f t="shared" si="1"/>
        <v>1058278234.3466666</v>
      </c>
      <c r="I62" s="6">
        <f t="shared" si="2"/>
        <v>0</v>
      </c>
      <c r="J62" s="6">
        <f t="shared" si="3"/>
        <v>1058278234.3466666</v>
      </c>
      <c r="K62" s="6">
        <f t="shared" si="4"/>
        <v>11710447721.893335</v>
      </c>
      <c r="L62" s="6">
        <f t="shared" si="5"/>
        <v>7704405929.0933323</v>
      </c>
      <c r="M62" s="5">
        <f t="shared" si="7"/>
        <v>1.5199676431472038</v>
      </c>
      <c r="N62" s="5">
        <f t="shared" si="6"/>
        <v>60.316950786277019</v>
      </c>
    </row>
    <row r="63" spans="1:14" x14ac:dyDescent="0.25">
      <c r="A63" s="7">
        <v>43559</v>
      </c>
      <c r="B63" s="5">
        <v>13.43</v>
      </c>
      <c r="C63" s="5">
        <v>14</v>
      </c>
      <c r="D63" s="5">
        <v>13.43</v>
      </c>
      <c r="E63" s="5">
        <v>13.86</v>
      </c>
      <c r="F63" s="6">
        <v>203436496</v>
      </c>
      <c r="G63" s="5">
        <f t="shared" si="0"/>
        <v>13.763333333333334</v>
      </c>
      <c r="H63" s="6">
        <f t="shared" si="1"/>
        <v>2799964306.6133332</v>
      </c>
      <c r="I63" s="6">
        <f t="shared" si="2"/>
        <v>2799964306.6133332</v>
      </c>
      <c r="J63" s="6">
        <f t="shared" si="3"/>
        <v>0</v>
      </c>
      <c r="K63" s="6">
        <f t="shared" si="4"/>
        <v>13202957591.173334</v>
      </c>
      <c r="L63" s="6">
        <f t="shared" si="5"/>
        <v>7704405929.0933323</v>
      </c>
      <c r="M63" s="5">
        <f t="shared" si="7"/>
        <v>1.7136892464760201</v>
      </c>
      <c r="N63" s="5">
        <f t="shared" si="6"/>
        <v>63.149796856858472</v>
      </c>
    </row>
    <row r="64" spans="1:14" x14ac:dyDescent="0.25">
      <c r="A64" s="7">
        <v>43563</v>
      </c>
      <c r="B64" s="5">
        <v>13.9</v>
      </c>
      <c r="C64" s="5">
        <v>14.43</v>
      </c>
      <c r="D64" s="5">
        <v>13.72</v>
      </c>
      <c r="E64" s="5">
        <v>13.96</v>
      </c>
      <c r="F64" s="6">
        <v>174317616</v>
      </c>
      <c r="G64" s="5">
        <f t="shared" si="0"/>
        <v>14.036666666666667</v>
      </c>
      <c r="H64" s="6">
        <f t="shared" si="1"/>
        <v>2446838269.9200001</v>
      </c>
      <c r="I64" s="6">
        <f t="shared" si="2"/>
        <v>2446838269.9200001</v>
      </c>
      <c r="J64" s="6">
        <f t="shared" si="3"/>
        <v>0</v>
      </c>
      <c r="K64" s="6">
        <f t="shared" si="4"/>
        <v>13758529972.346668</v>
      </c>
      <c r="L64" s="6">
        <f t="shared" si="5"/>
        <v>7704405929.0933323</v>
      </c>
      <c r="M64" s="5">
        <f t="shared" si="7"/>
        <v>1.7858002419617829</v>
      </c>
      <c r="N64" s="5">
        <f t="shared" si="6"/>
        <v>64.10367172285865</v>
      </c>
    </row>
    <row r="65" spans="1:14" x14ac:dyDescent="0.25">
      <c r="A65" s="7">
        <v>43564</v>
      </c>
      <c r="B65" s="5">
        <v>13.87</v>
      </c>
      <c r="C65" s="5">
        <v>13.98</v>
      </c>
      <c r="D65" s="5">
        <v>13.75</v>
      </c>
      <c r="E65" s="5">
        <v>13.81</v>
      </c>
      <c r="F65" s="6">
        <v>78133240</v>
      </c>
      <c r="G65" s="5">
        <f t="shared" si="0"/>
        <v>13.846666666666666</v>
      </c>
      <c r="H65" s="6">
        <f t="shared" si="1"/>
        <v>1081884929.8666666</v>
      </c>
      <c r="I65" s="6">
        <f t="shared" si="2"/>
        <v>0</v>
      </c>
      <c r="J65" s="6">
        <f t="shared" si="3"/>
        <v>1081884929.8666666</v>
      </c>
      <c r="K65" s="6">
        <f t="shared" si="4"/>
        <v>12535232870.906668</v>
      </c>
      <c r="L65" s="6">
        <f t="shared" si="5"/>
        <v>8786290858.9599991</v>
      </c>
      <c r="M65" s="5">
        <f t="shared" si="7"/>
        <v>1.4266808454358881</v>
      </c>
      <c r="N65" s="5">
        <f t="shared" si="6"/>
        <v>58.791449568623563</v>
      </c>
    </row>
    <row r="66" spans="1:14" x14ac:dyDescent="0.25">
      <c r="A66" s="7">
        <v>43565</v>
      </c>
      <c r="B66" s="5">
        <v>13.75</v>
      </c>
      <c r="C66" s="5">
        <v>13.88</v>
      </c>
      <c r="D66" s="5">
        <v>13.4</v>
      </c>
      <c r="E66" s="5">
        <v>13.73</v>
      </c>
      <c r="F66" s="6">
        <v>94713504</v>
      </c>
      <c r="G66" s="5">
        <f t="shared" ref="G66:G129" si="8">(C66 + D66 + E66)/3</f>
        <v>13.670000000000002</v>
      </c>
      <c r="H66" s="6">
        <f t="shared" ref="H66:H129" si="9">G66*F66</f>
        <v>1294733599.6800001</v>
      </c>
      <c r="I66" s="6">
        <f t="shared" si="2"/>
        <v>0</v>
      </c>
      <c r="J66" s="6">
        <f t="shared" si="3"/>
        <v>1294733599.6800001</v>
      </c>
      <c r="K66" s="6">
        <f t="shared" si="4"/>
        <v>12535232870.906668</v>
      </c>
      <c r="L66" s="6">
        <f t="shared" si="5"/>
        <v>8895279048.6399994</v>
      </c>
      <c r="M66" s="5">
        <f t="shared" si="7"/>
        <v>1.4092006335454064</v>
      </c>
      <c r="N66" s="5">
        <f t="shared" si="6"/>
        <v>58.492456540309441</v>
      </c>
    </row>
    <row r="67" spans="1:14" x14ac:dyDescent="0.25">
      <c r="A67" s="7">
        <v>43566</v>
      </c>
      <c r="B67" s="5">
        <v>13.73</v>
      </c>
      <c r="C67" s="5">
        <v>13.96</v>
      </c>
      <c r="D67" s="5">
        <v>13.49</v>
      </c>
      <c r="E67" s="5">
        <v>13.54</v>
      </c>
      <c r="F67" s="6">
        <v>65535664</v>
      </c>
      <c r="G67" s="5">
        <f t="shared" si="8"/>
        <v>13.663333333333334</v>
      </c>
      <c r="H67" s="6">
        <f t="shared" si="9"/>
        <v>895435622.45333338</v>
      </c>
      <c r="I67" s="6">
        <f t="shared" ref="I67:I130" si="10">IF(G67&gt;G66,H67,0)</f>
        <v>0</v>
      </c>
      <c r="J67" s="6">
        <f t="shared" ref="J67:J130" si="11">IF(G67&lt;G66,H67,0)</f>
        <v>895435622.45333338</v>
      </c>
      <c r="K67" s="6">
        <f t="shared" si="4"/>
        <v>12535232870.906668</v>
      </c>
      <c r="L67" s="6">
        <f t="shared" si="5"/>
        <v>8699195995.8933334</v>
      </c>
      <c r="M67" s="5">
        <f t="shared" si="7"/>
        <v>1.4409645301501688</v>
      </c>
      <c r="N67" s="5">
        <f t="shared" si="6"/>
        <v>59.032587829595386</v>
      </c>
    </row>
    <row r="68" spans="1:14" x14ac:dyDescent="0.25">
      <c r="A68" s="7">
        <v>43567</v>
      </c>
      <c r="B68" s="5">
        <v>13.49</v>
      </c>
      <c r="C68" s="5">
        <v>13.59</v>
      </c>
      <c r="D68" s="5">
        <v>13.21</v>
      </c>
      <c r="E68" s="5">
        <v>13.42</v>
      </c>
      <c r="F68" s="6">
        <v>77432464</v>
      </c>
      <c r="G68" s="5">
        <f t="shared" si="8"/>
        <v>13.406666666666666</v>
      </c>
      <c r="H68" s="6">
        <f t="shared" si="9"/>
        <v>1038111234.0266666</v>
      </c>
      <c r="I68" s="6">
        <f t="shared" si="10"/>
        <v>0</v>
      </c>
      <c r="J68" s="6">
        <f t="shared" si="11"/>
        <v>1038111234.0266666</v>
      </c>
      <c r="K68" s="6">
        <f t="shared" si="4"/>
        <v>12535232870.906668</v>
      </c>
      <c r="L68" s="6">
        <f t="shared" si="5"/>
        <v>8837581107.039999</v>
      </c>
      <c r="M68" s="5">
        <f t="shared" si="7"/>
        <v>1.4184008858398061</v>
      </c>
      <c r="N68" s="5">
        <f t="shared" si="6"/>
        <v>58.650362483110683</v>
      </c>
    </row>
    <row r="69" spans="1:14" x14ac:dyDescent="0.25">
      <c r="A69" s="7">
        <v>43570</v>
      </c>
      <c r="B69" s="5">
        <v>13.72</v>
      </c>
      <c r="C69" s="5">
        <v>14.09</v>
      </c>
      <c r="D69" s="5">
        <v>13.66</v>
      </c>
      <c r="E69" s="5">
        <v>13.69</v>
      </c>
      <c r="F69" s="6">
        <v>153389072</v>
      </c>
      <c r="G69" s="5">
        <f t="shared" si="8"/>
        <v>13.813333333333333</v>
      </c>
      <c r="H69" s="6">
        <f t="shared" si="9"/>
        <v>2118814381.2266665</v>
      </c>
      <c r="I69" s="6">
        <f t="shared" si="10"/>
        <v>2118814381.2266665</v>
      </c>
      <c r="J69" s="6">
        <f t="shared" si="11"/>
        <v>0</v>
      </c>
      <c r="K69" s="6">
        <f t="shared" si="4"/>
        <v>14654047252.133335</v>
      </c>
      <c r="L69" s="6">
        <f t="shared" si="5"/>
        <v>7397730211.0133343</v>
      </c>
      <c r="M69" s="5">
        <f t="shared" si="7"/>
        <v>1.9808842488358382</v>
      </c>
      <c r="N69" s="5">
        <f t="shared" si="6"/>
        <v>66.452907375033348</v>
      </c>
    </row>
    <row r="70" spans="1:14" x14ac:dyDescent="0.25">
      <c r="A70" s="7">
        <v>43571</v>
      </c>
      <c r="B70" s="5">
        <v>13.67</v>
      </c>
      <c r="C70" s="5">
        <v>14.58</v>
      </c>
      <c r="D70" s="5">
        <v>13.55</v>
      </c>
      <c r="E70" s="5">
        <v>14.58</v>
      </c>
      <c r="F70" s="6">
        <v>237937520</v>
      </c>
      <c r="G70" s="5">
        <f t="shared" si="8"/>
        <v>14.236666666666666</v>
      </c>
      <c r="H70" s="6">
        <f t="shared" si="9"/>
        <v>3387437159.7333331</v>
      </c>
      <c r="I70" s="6">
        <f t="shared" si="10"/>
        <v>3387437159.7333331</v>
      </c>
      <c r="J70" s="6">
        <f t="shared" si="11"/>
        <v>0</v>
      </c>
      <c r="K70" s="6">
        <f t="shared" si="4"/>
        <v>18041484411.866669</v>
      </c>
      <c r="L70" s="6">
        <f t="shared" si="5"/>
        <v>6262786364.6133327</v>
      </c>
      <c r="M70" s="5">
        <f t="shared" si="7"/>
        <v>2.8807440269408837</v>
      </c>
      <c r="N70" s="5">
        <f t="shared" si="6"/>
        <v>74.231745431860375</v>
      </c>
    </row>
    <row r="71" spans="1:14" x14ac:dyDescent="0.25">
      <c r="A71" s="7">
        <v>43572</v>
      </c>
      <c r="B71" s="5">
        <v>14.42</v>
      </c>
      <c r="C71" s="5">
        <v>14.59</v>
      </c>
      <c r="D71" s="5">
        <v>14.23</v>
      </c>
      <c r="E71" s="5">
        <v>14.35</v>
      </c>
      <c r="F71" s="6">
        <v>100410984</v>
      </c>
      <c r="G71" s="5">
        <f t="shared" si="8"/>
        <v>14.39</v>
      </c>
      <c r="H71" s="6">
        <f t="shared" si="9"/>
        <v>1444914059.76</v>
      </c>
      <c r="I71" s="6">
        <f t="shared" si="10"/>
        <v>1444914059.76</v>
      </c>
      <c r="J71" s="6">
        <f t="shared" si="11"/>
        <v>0</v>
      </c>
      <c r="K71" s="6">
        <f t="shared" si="4"/>
        <v>18347322591.493332</v>
      </c>
      <c r="L71" s="6">
        <f t="shared" si="5"/>
        <v>6262786364.6133327</v>
      </c>
      <c r="M71" s="5">
        <f t="shared" si="7"/>
        <v>2.9295782297734667</v>
      </c>
      <c r="N71" s="5">
        <f t="shared" si="6"/>
        <v>74.551976280221595</v>
      </c>
    </row>
    <row r="72" spans="1:14" x14ac:dyDescent="0.25">
      <c r="A72" s="7">
        <v>43573</v>
      </c>
      <c r="B72" s="5">
        <v>14.3</v>
      </c>
      <c r="C72" s="5">
        <v>14.37</v>
      </c>
      <c r="D72" s="5">
        <v>14.11</v>
      </c>
      <c r="E72" s="5">
        <v>14.34</v>
      </c>
      <c r="F72" s="6">
        <v>50704528</v>
      </c>
      <c r="G72" s="5">
        <f t="shared" si="8"/>
        <v>14.273333333333332</v>
      </c>
      <c r="H72" s="6">
        <f t="shared" si="9"/>
        <v>723722629.65333331</v>
      </c>
      <c r="I72" s="6">
        <f t="shared" si="10"/>
        <v>0</v>
      </c>
      <c r="J72" s="6">
        <f t="shared" si="11"/>
        <v>723722629.65333331</v>
      </c>
      <c r="K72" s="6">
        <f t="shared" si="4"/>
        <v>18347322591.493332</v>
      </c>
      <c r="L72" s="6">
        <f t="shared" si="5"/>
        <v>6092166250.0266666</v>
      </c>
      <c r="M72" s="5">
        <f t="shared" si="7"/>
        <v>3.0116253953859222</v>
      </c>
      <c r="N72" s="5">
        <f t="shared" si="6"/>
        <v>75.072448161531312</v>
      </c>
    </row>
    <row r="73" spans="1:14" x14ac:dyDescent="0.25">
      <c r="A73" s="7">
        <v>43574</v>
      </c>
      <c r="B73" s="5">
        <v>14.45</v>
      </c>
      <c r="C73" s="5">
        <v>14.8</v>
      </c>
      <c r="D73" s="5">
        <v>14.3</v>
      </c>
      <c r="E73" s="5">
        <v>14.73</v>
      </c>
      <c r="F73" s="6">
        <v>124603608</v>
      </c>
      <c r="G73" s="5">
        <f t="shared" si="8"/>
        <v>14.61</v>
      </c>
      <c r="H73" s="6">
        <f t="shared" si="9"/>
        <v>1820458712.8799999</v>
      </c>
      <c r="I73" s="6">
        <f t="shared" si="10"/>
        <v>1820458712.8799999</v>
      </c>
      <c r="J73" s="6">
        <f t="shared" si="11"/>
        <v>0</v>
      </c>
      <c r="K73" s="6">
        <f t="shared" si="4"/>
        <v>18061420729.706665</v>
      </c>
      <c r="L73" s="6">
        <f t="shared" si="5"/>
        <v>6092166250.0266666</v>
      </c>
      <c r="M73" s="5">
        <f t="shared" si="7"/>
        <v>2.9646959699478992</v>
      </c>
      <c r="N73" s="5">
        <f t="shared" si="6"/>
        <v>74.777385010605457</v>
      </c>
    </row>
    <row r="74" spans="1:14" x14ac:dyDescent="0.25">
      <c r="A74" s="7">
        <v>43577</v>
      </c>
      <c r="B74" s="5">
        <v>14.6</v>
      </c>
      <c r="C74" s="5">
        <v>14.84</v>
      </c>
      <c r="D74" s="5">
        <v>14.08</v>
      </c>
      <c r="E74" s="5">
        <v>14.15</v>
      </c>
      <c r="F74" s="6">
        <v>132227392</v>
      </c>
      <c r="G74" s="5">
        <f t="shared" si="8"/>
        <v>14.356666666666667</v>
      </c>
      <c r="H74" s="6">
        <f t="shared" si="9"/>
        <v>1898344591.1466668</v>
      </c>
      <c r="I74" s="6">
        <f t="shared" si="10"/>
        <v>0</v>
      </c>
      <c r="J74" s="6">
        <f t="shared" si="11"/>
        <v>1898344591.1466668</v>
      </c>
      <c r="K74" s="6">
        <f t="shared" si="4"/>
        <v>15488173119.466667</v>
      </c>
      <c r="L74" s="6">
        <f t="shared" si="5"/>
        <v>7990510841.1733332</v>
      </c>
      <c r="M74" s="5">
        <f t="shared" si="7"/>
        <v>1.9383207691377553</v>
      </c>
      <c r="N74" s="5">
        <f t="shared" si="6"/>
        <v>65.96695600754822</v>
      </c>
    </row>
    <row r="75" spans="1:14" x14ac:dyDescent="0.25">
      <c r="A75" s="7">
        <v>43578</v>
      </c>
      <c r="B75" s="5">
        <v>14.1</v>
      </c>
      <c r="C75" s="5">
        <v>14.2</v>
      </c>
      <c r="D75" s="5">
        <v>13.97</v>
      </c>
      <c r="E75" s="5">
        <v>14.07</v>
      </c>
      <c r="F75" s="6">
        <v>94068736</v>
      </c>
      <c r="G75" s="5">
        <f t="shared" si="8"/>
        <v>14.08</v>
      </c>
      <c r="H75" s="6">
        <f t="shared" si="9"/>
        <v>1324487802.8800001</v>
      </c>
      <c r="I75" s="6">
        <f t="shared" si="10"/>
        <v>0</v>
      </c>
      <c r="J75" s="6">
        <f t="shared" si="11"/>
        <v>1324487802.8800001</v>
      </c>
      <c r="K75" s="6">
        <f t="shared" si="4"/>
        <v>14018426890.133331</v>
      </c>
      <c r="L75" s="6">
        <f t="shared" si="5"/>
        <v>9314998644.0533333</v>
      </c>
      <c r="M75" s="5">
        <f t="shared" si="7"/>
        <v>1.5049306420546451</v>
      </c>
      <c r="N75" s="5">
        <f t="shared" si="6"/>
        <v>60.078734987258578</v>
      </c>
    </row>
    <row r="76" spans="1:14" x14ac:dyDescent="0.25">
      <c r="A76" s="7">
        <v>43579</v>
      </c>
      <c r="B76" s="5">
        <v>14.45</v>
      </c>
      <c r="C76" s="5">
        <v>14.6</v>
      </c>
      <c r="D76" s="5">
        <v>14.16</v>
      </c>
      <c r="E76" s="5">
        <v>14.44</v>
      </c>
      <c r="F76" s="6">
        <v>194972368</v>
      </c>
      <c r="G76" s="5">
        <f t="shared" si="8"/>
        <v>14.399999999999999</v>
      </c>
      <c r="H76" s="6">
        <f t="shared" si="9"/>
        <v>2807602099.1999998</v>
      </c>
      <c r="I76" s="6">
        <f t="shared" si="10"/>
        <v>2807602099.1999998</v>
      </c>
      <c r="J76" s="6">
        <f t="shared" si="11"/>
        <v>0</v>
      </c>
      <c r="K76" s="6">
        <f t="shared" si="4"/>
        <v>16826028989.333332</v>
      </c>
      <c r="L76" s="6">
        <f t="shared" si="5"/>
        <v>8256720409.7066669</v>
      </c>
      <c r="M76" s="5">
        <f t="shared" si="7"/>
        <v>2.0378586356820945</v>
      </c>
      <c r="N76" s="5">
        <f t="shared" si="6"/>
        <v>67.082075898654551</v>
      </c>
    </row>
    <row r="77" spans="1:14" x14ac:dyDescent="0.25">
      <c r="A77" s="7">
        <v>43580</v>
      </c>
      <c r="B77" s="5">
        <v>14.38</v>
      </c>
      <c r="C77" s="5">
        <v>14.64</v>
      </c>
      <c r="D77" s="5">
        <v>14.13</v>
      </c>
      <c r="E77" s="5">
        <v>14.13</v>
      </c>
      <c r="F77" s="6">
        <v>111147640</v>
      </c>
      <c r="G77" s="5">
        <f t="shared" si="8"/>
        <v>14.300000000000002</v>
      </c>
      <c r="H77" s="6">
        <f t="shared" si="9"/>
        <v>1589411252.0000002</v>
      </c>
      <c r="I77" s="6">
        <f t="shared" si="10"/>
        <v>0</v>
      </c>
      <c r="J77" s="6">
        <f t="shared" si="11"/>
        <v>1589411252.0000002</v>
      </c>
      <c r="K77" s="6">
        <f t="shared" si="4"/>
        <v>14026064682.719997</v>
      </c>
      <c r="L77" s="6">
        <f t="shared" si="5"/>
        <v>9846131661.7066669</v>
      </c>
      <c r="M77" s="5">
        <f t="shared" si="7"/>
        <v>1.4245254039482149</v>
      </c>
      <c r="N77" s="5">
        <f t="shared" si="6"/>
        <v>58.754814514562256</v>
      </c>
    </row>
    <row r="78" spans="1:14" x14ac:dyDescent="0.25">
      <c r="A78" s="7">
        <v>43581</v>
      </c>
      <c r="B78" s="5">
        <v>14.08</v>
      </c>
      <c r="C78" s="5">
        <v>14.25</v>
      </c>
      <c r="D78" s="5">
        <v>13.7</v>
      </c>
      <c r="E78" s="5">
        <v>13.79</v>
      </c>
      <c r="F78" s="6">
        <v>100942128</v>
      </c>
      <c r="G78" s="5">
        <f t="shared" si="8"/>
        <v>13.913333333333332</v>
      </c>
      <c r="H78" s="6">
        <f t="shared" si="9"/>
        <v>1404441474.2399998</v>
      </c>
      <c r="I78" s="6">
        <f t="shared" si="10"/>
        <v>0</v>
      </c>
      <c r="J78" s="6">
        <f t="shared" si="11"/>
        <v>1404441474.2399998</v>
      </c>
      <c r="K78" s="6">
        <f t="shared" si="4"/>
        <v>11579226412.799999</v>
      </c>
      <c r="L78" s="6">
        <f t="shared" si="5"/>
        <v>11250573135.946667</v>
      </c>
      <c r="M78" s="5">
        <f t="shared" si="7"/>
        <v>1.0292121363847015</v>
      </c>
      <c r="N78" s="5">
        <f t="shared" si="6"/>
        <v>50.719790106241597</v>
      </c>
    </row>
    <row r="79" spans="1:14" x14ac:dyDescent="0.25">
      <c r="A79" s="7">
        <v>43584</v>
      </c>
      <c r="B79" s="5">
        <v>13.9</v>
      </c>
      <c r="C79" s="5">
        <v>14.33</v>
      </c>
      <c r="D79" s="5">
        <v>13.86</v>
      </c>
      <c r="E79" s="5">
        <v>14.1</v>
      </c>
      <c r="F79" s="6">
        <v>103069576</v>
      </c>
      <c r="G79" s="5">
        <f t="shared" si="8"/>
        <v>14.096666666666666</v>
      </c>
      <c r="H79" s="6">
        <f t="shared" si="9"/>
        <v>1452937456.3466666</v>
      </c>
      <c r="I79" s="6">
        <f t="shared" si="10"/>
        <v>1452937456.3466666</v>
      </c>
      <c r="J79" s="6">
        <f t="shared" si="11"/>
        <v>0</v>
      </c>
      <c r="K79" s="6">
        <f t="shared" ref="K79:K142" si="12">SUM(I66:I79)</f>
        <v>13032163869.146666</v>
      </c>
      <c r="L79" s="6">
        <f t="shared" ref="L79:L142" si="13">SUM(J66:J79)</f>
        <v>10168688206.08</v>
      </c>
      <c r="M79" s="5">
        <f t="shared" ref="M79:M142" si="14">K79/L79</f>
        <v>1.2815973511071521</v>
      </c>
      <c r="N79" s="5">
        <f t="shared" ref="N79:N142" si="15">100-(100/(1+M79))</f>
        <v>56.171057109846878</v>
      </c>
    </row>
    <row r="80" spans="1:14" x14ac:dyDescent="0.25">
      <c r="A80" s="7">
        <v>43585</v>
      </c>
      <c r="B80" s="5">
        <v>13.99</v>
      </c>
      <c r="C80" s="5">
        <v>14.05</v>
      </c>
      <c r="D80" s="5">
        <v>13.59</v>
      </c>
      <c r="E80" s="5">
        <v>13.85</v>
      </c>
      <c r="F80" s="6">
        <v>111657024</v>
      </c>
      <c r="G80" s="5">
        <f t="shared" si="8"/>
        <v>13.83</v>
      </c>
      <c r="H80" s="6">
        <f t="shared" si="9"/>
        <v>1544216641.9200001</v>
      </c>
      <c r="I80" s="6">
        <f t="shared" si="10"/>
        <v>0</v>
      </c>
      <c r="J80" s="6">
        <f t="shared" si="11"/>
        <v>1544216641.9200001</v>
      </c>
      <c r="K80" s="6">
        <f t="shared" si="12"/>
        <v>13032163869.146666</v>
      </c>
      <c r="L80" s="6">
        <f t="shared" si="13"/>
        <v>10418171248.32</v>
      </c>
      <c r="M80" s="5">
        <f t="shared" si="14"/>
        <v>1.2509070506254338</v>
      </c>
      <c r="N80" s="5">
        <f t="shared" si="15"/>
        <v>55.573465384892664</v>
      </c>
    </row>
    <row r="81" spans="1:14" x14ac:dyDescent="0.25">
      <c r="A81" s="7">
        <v>43591</v>
      </c>
      <c r="B81" s="5">
        <v>13.1</v>
      </c>
      <c r="C81" s="5">
        <v>13.35</v>
      </c>
      <c r="D81" s="5">
        <v>12.71</v>
      </c>
      <c r="E81" s="5">
        <v>12.87</v>
      </c>
      <c r="F81" s="6">
        <v>210866784</v>
      </c>
      <c r="G81" s="5">
        <f t="shared" si="8"/>
        <v>12.976666666666667</v>
      </c>
      <c r="H81" s="6">
        <f t="shared" si="9"/>
        <v>2736347967.04</v>
      </c>
      <c r="I81" s="6">
        <f t="shared" si="10"/>
        <v>0</v>
      </c>
      <c r="J81" s="6">
        <f t="shared" si="11"/>
        <v>2736347967.04</v>
      </c>
      <c r="K81" s="6">
        <f t="shared" si="12"/>
        <v>13032163869.146666</v>
      </c>
      <c r="L81" s="6">
        <f t="shared" si="13"/>
        <v>12259083592.906666</v>
      </c>
      <c r="M81" s="5">
        <f t="shared" si="14"/>
        <v>1.063061832508208</v>
      </c>
      <c r="N81" s="5">
        <f t="shared" si="15"/>
        <v>51.528355367602806</v>
      </c>
    </row>
    <row r="82" spans="1:14" x14ac:dyDescent="0.25">
      <c r="A82" s="7">
        <v>43592</v>
      </c>
      <c r="B82" s="5">
        <v>13.03</v>
      </c>
      <c r="C82" s="5">
        <v>13.09</v>
      </c>
      <c r="D82" s="5">
        <v>12.72</v>
      </c>
      <c r="E82" s="5">
        <v>12.95</v>
      </c>
      <c r="F82" s="6">
        <v>107265840</v>
      </c>
      <c r="G82" s="5">
        <f t="shared" si="8"/>
        <v>12.920000000000002</v>
      </c>
      <c r="H82" s="6">
        <f t="shared" si="9"/>
        <v>1385874652.8000002</v>
      </c>
      <c r="I82" s="6">
        <f t="shared" si="10"/>
        <v>0</v>
      </c>
      <c r="J82" s="6">
        <f t="shared" si="11"/>
        <v>1385874652.8000002</v>
      </c>
      <c r="K82" s="6">
        <f t="shared" si="12"/>
        <v>13032163869.146666</v>
      </c>
      <c r="L82" s="6">
        <f t="shared" si="13"/>
        <v>12606847011.68</v>
      </c>
      <c r="M82" s="5">
        <f t="shared" si="14"/>
        <v>1.0337369730173307</v>
      </c>
      <c r="N82" s="5">
        <f t="shared" si="15"/>
        <v>50.829433045298806</v>
      </c>
    </row>
    <row r="83" spans="1:14" x14ac:dyDescent="0.25">
      <c r="A83" s="7">
        <v>43593</v>
      </c>
      <c r="B83" s="5">
        <v>12.72</v>
      </c>
      <c r="C83" s="5">
        <v>12.91</v>
      </c>
      <c r="D83" s="5">
        <v>12.5</v>
      </c>
      <c r="E83" s="5">
        <v>12.6</v>
      </c>
      <c r="F83" s="6">
        <v>97545080</v>
      </c>
      <c r="G83" s="5">
        <f t="shared" si="8"/>
        <v>12.67</v>
      </c>
      <c r="H83" s="6">
        <f t="shared" si="9"/>
        <v>1235896163.5999999</v>
      </c>
      <c r="I83" s="6">
        <f t="shared" si="10"/>
        <v>0</v>
      </c>
      <c r="J83" s="6">
        <f t="shared" si="11"/>
        <v>1235896163.5999999</v>
      </c>
      <c r="K83" s="6">
        <f t="shared" si="12"/>
        <v>10913349487.92</v>
      </c>
      <c r="L83" s="6">
        <f t="shared" si="13"/>
        <v>13842743175.280001</v>
      </c>
      <c r="M83" s="5">
        <f t="shared" si="14"/>
        <v>0.7883805507140208</v>
      </c>
      <c r="N83" s="5">
        <f t="shared" si="15"/>
        <v>44.083489411649857</v>
      </c>
    </row>
    <row r="84" spans="1:14" x14ac:dyDescent="0.25">
      <c r="A84" s="7">
        <v>43594</v>
      </c>
      <c r="B84" s="5">
        <v>12.52</v>
      </c>
      <c r="C84" s="5">
        <v>12.58</v>
      </c>
      <c r="D84" s="5">
        <v>12.05</v>
      </c>
      <c r="E84" s="5">
        <v>12.16</v>
      </c>
      <c r="F84" s="6">
        <v>155715168</v>
      </c>
      <c r="G84" s="5">
        <f t="shared" si="8"/>
        <v>12.263333333333335</v>
      </c>
      <c r="H84" s="6">
        <f t="shared" si="9"/>
        <v>1909587010.2400002</v>
      </c>
      <c r="I84" s="6">
        <f t="shared" si="10"/>
        <v>0</v>
      </c>
      <c r="J84" s="6">
        <f t="shared" si="11"/>
        <v>1909587010.2400002</v>
      </c>
      <c r="K84" s="6">
        <f t="shared" si="12"/>
        <v>7525912328.1866665</v>
      </c>
      <c r="L84" s="6">
        <f t="shared" si="13"/>
        <v>15752330185.52</v>
      </c>
      <c r="M84" s="5">
        <f t="shared" si="14"/>
        <v>0.4777650188608098</v>
      </c>
      <c r="N84" s="5">
        <f t="shared" si="15"/>
        <v>32.33024281689336</v>
      </c>
    </row>
    <row r="85" spans="1:14" x14ac:dyDescent="0.25">
      <c r="A85" s="7">
        <v>43595</v>
      </c>
      <c r="B85" s="5">
        <v>12.34</v>
      </c>
      <c r="C85" s="5">
        <v>12.75</v>
      </c>
      <c r="D85" s="5">
        <v>12.1</v>
      </c>
      <c r="E85" s="5">
        <v>12.68</v>
      </c>
      <c r="F85" s="6">
        <v>119239904</v>
      </c>
      <c r="G85" s="5">
        <f t="shared" si="8"/>
        <v>12.51</v>
      </c>
      <c r="H85" s="6">
        <f t="shared" si="9"/>
        <v>1491691199.04</v>
      </c>
      <c r="I85" s="6">
        <f t="shared" si="10"/>
        <v>1491691199.04</v>
      </c>
      <c r="J85" s="6">
        <f t="shared" si="11"/>
        <v>0</v>
      </c>
      <c r="K85" s="6">
        <f t="shared" si="12"/>
        <v>7572689467.4666662</v>
      </c>
      <c r="L85" s="6">
        <f t="shared" si="13"/>
        <v>15752330185.52</v>
      </c>
      <c r="M85" s="5">
        <f t="shared" si="14"/>
        <v>0.48073455661992803</v>
      </c>
      <c r="N85" s="5">
        <f t="shared" si="15"/>
        <v>32.465951069400347</v>
      </c>
    </row>
    <row r="86" spans="1:14" x14ac:dyDescent="0.25">
      <c r="A86" s="7">
        <v>43598</v>
      </c>
      <c r="B86" s="5">
        <v>12.33</v>
      </c>
      <c r="C86" s="5">
        <v>12.54</v>
      </c>
      <c r="D86" s="5">
        <v>12.23</v>
      </c>
      <c r="E86" s="5">
        <v>12.3</v>
      </c>
      <c r="F86" s="6">
        <v>74191776</v>
      </c>
      <c r="G86" s="5">
        <f t="shared" si="8"/>
        <v>12.356666666666667</v>
      </c>
      <c r="H86" s="6">
        <f t="shared" si="9"/>
        <v>916763045.44000006</v>
      </c>
      <c r="I86" s="6">
        <f t="shared" si="10"/>
        <v>0</v>
      </c>
      <c r="J86" s="6">
        <f t="shared" si="11"/>
        <v>916763045.44000006</v>
      </c>
      <c r="K86" s="6">
        <f t="shared" si="12"/>
        <v>7572689467.4666662</v>
      </c>
      <c r="L86" s="6">
        <f t="shared" si="13"/>
        <v>15945370601.306665</v>
      </c>
      <c r="M86" s="5">
        <f t="shared" si="14"/>
        <v>0.47491461044161065</v>
      </c>
      <c r="N86" s="5">
        <f t="shared" si="15"/>
        <v>32.199464774399004</v>
      </c>
    </row>
    <row r="87" spans="1:14" x14ac:dyDescent="0.25">
      <c r="A87" s="7">
        <v>43599</v>
      </c>
      <c r="B87" s="5">
        <v>12.2</v>
      </c>
      <c r="C87" s="5">
        <v>12.75</v>
      </c>
      <c r="D87" s="5">
        <v>12.16</v>
      </c>
      <c r="E87" s="5">
        <v>12.49</v>
      </c>
      <c r="F87" s="6">
        <v>118259816</v>
      </c>
      <c r="G87" s="5">
        <f t="shared" si="8"/>
        <v>12.466666666666667</v>
      </c>
      <c r="H87" s="6">
        <f t="shared" si="9"/>
        <v>1474305706.1333334</v>
      </c>
      <c r="I87" s="6">
        <f t="shared" si="10"/>
        <v>1474305706.1333334</v>
      </c>
      <c r="J87" s="6">
        <f t="shared" si="11"/>
        <v>0</v>
      </c>
      <c r="K87" s="6">
        <f t="shared" si="12"/>
        <v>7226536460.7199993</v>
      </c>
      <c r="L87" s="6">
        <f t="shared" si="13"/>
        <v>15945370601.306665</v>
      </c>
      <c r="M87" s="5">
        <f t="shared" si="14"/>
        <v>0.45320592674890925</v>
      </c>
      <c r="N87" s="5">
        <f t="shared" si="15"/>
        <v>31.18662802062849</v>
      </c>
    </row>
    <row r="88" spans="1:14" x14ac:dyDescent="0.25">
      <c r="A88" s="7">
        <v>43600</v>
      </c>
      <c r="B88" s="5">
        <v>12.58</v>
      </c>
      <c r="C88" s="5">
        <v>13.11</v>
      </c>
      <c r="D88" s="5">
        <v>12.57</v>
      </c>
      <c r="E88" s="5">
        <v>12.92</v>
      </c>
      <c r="F88" s="6">
        <v>110398848</v>
      </c>
      <c r="G88" s="5">
        <f t="shared" si="8"/>
        <v>12.866666666666667</v>
      </c>
      <c r="H88" s="6">
        <f t="shared" si="9"/>
        <v>1420465177.6000001</v>
      </c>
      <c r="I88" s="6">
        <f t="shared" si="10"/>
        <v>1420465177.6000001</v>
      </c>
      <c r="J88" s="6">
        <f t="shared" si="11"/>
        <v>0</v>
      </c>
      <c r="K88" s="6">
        <f t="shared" si="12"/>
        <v>8647001638.3199997</v>
      </c>
      <c r="L88" s="6">
        <f t="shared" si="13"/>
        <v>14047026010.160002</v>
      </c>
      <c r="M88" s="5">
        <f t="shared" si="14"/>
        <v>0.61557525643262523</v>
      </c>
      <c r="N88" s="5">
        <f t="shared" si="15"/>
        <v>38.102542978523061</v>
      </c>
    </row>
    <row r="89" spans="1:14" x14ac:dyDescent="0.25">
      <c r="A89" s="7">
        <v>43601</v>
      </c>
      <c r="B89" s="5">
        <v>12.93</v>
      </c>
      <c r="C89" s="5">
        <v>12.99</v>
      </c>
      <c r="D89" s="5">
        <v>12.78</v>
      </c>
      <c r="E89" s="5">
        <v>12.85</v>
      </c>
      <c r="F89" s="6">
        <v>63490144</v>
      </c>
      <c r="G89" s="5">
        <f t="shared" si="8"/>
        <v>12.873333333333333</v>
      </c>
      <c r="H89" s="6">
        <f t="shared" si="9"/>
        <v>817329787.09333336</v>
      </c>
      <c r="I89" s="6">
        <f t="shared" si="10"/>
        <v>817329787.09333336</v>
      </c>
      <c r="J89" s="6">
        <f t="shared" si="11"/>
        <v>0</v>
      </c>
      <c r="K89" s="6">
        <f t="shared" si="12"/>
        <v>9464331425.4133339</v>
      </c>
      <c r="L89" s="6">
        <f t="shared" si="13"/>
        <v>12722538207.280001</v>
      </c>
      <c r="M89" s="5">
        <f t="shared" si="14"/>
        <v>0.74390277091073864</v>
      </c>
      <c r="N89" s="5">
        <f t="shared" si="15"/>
        <v>42.657353570362275</v>
      </c>
    </row>
    <row r="90" spans="1:14" x14ac:dyDescent="0.25">
      <c r="A90" s="7">
        <v>43602</v>
      </c>
      <c r="B90" s="5">
        <v>12.92</v>
      </c>
      <c r="C90" s="5">
        <v>12.93</v>
      </c>
      <c r="D90" s="5">
        <v>12.36</v>
      </c>
      <c r="E90" s="5">
        <v>12.44</v>
      </c>
      <c r="F90" s="6">
        <v>96500088</v>
      </c>
      <c r="G90" s="5">
        <f t="shared" si="8"/>
        <v>12.576666666666666</v>
      </c>
      <c r="H90" s="6">
        <f t="shared" si="9"/>
        <v>1213649440.0799999</v>
      </c>
      <c r="I90" s="6">
        <f t="shared" si="10"/>
        <v>0</v>
      </c>
      <c r="J90" s="6">
        <f t="shared" si="11"/>
        <v>1213649440.0799999</v>
      </c>
      <c r="K90" s="6">
        <f t="shared" si="12"/>
        <v>6656729326.2133331</v>
      </c>
      <c r="L90" s="6">
        <f t="shared" si="13"/>
        <v>13936187647.360001</v>
      </c>
      <c r="M90" s="5">
        <f t="shared" si="14"/>
        <v>0.47765784263635036</v>
      </c>
      <c r="N90" s="5">
        <f t="shared" si="15"/>
        <v>32.325334651500995</v>
      </c>
    </row>
    <row r="91" spans="1:14" x14ac:dyDescent="0.25">
      <c r="A91" s="7">
        <v>43605</v>
      </c>
      <c r="B91" s="5">
        <v>12.35</v>
      </c>
      <c r="C91" s="5">
        <v>12.54</v>
      </c>
      <c r="D91" s="5">
        <v>12.25</v>
      </c>
      <c r="E91" s="5">
        <v>12.38</v>
      </c>
      <c r="F91" s="6">
        <v>78643520</v>
      </c>
      <c r="G91" s="5">
        <f t="shared" si="8"/>
        <v>12.39</v>
      </c>
      <c r="H91" s="6">
        <f t="shared" si="9"/>
        <v>974393212.80000007</v>
      </c>
      <c r="I91" s="6">
        <f t="shared" si="10"/>
        <v>0</v>
      </c>
      <c r="J91" s="6">
        <f t="shared" si="11"/>
        <v>974393212.80000007</v>
      </c>
      <c r="K91" s="6">
        <f t="shared" si="12"/>
        <v>6656729326.2133331</v>
      </c>
      <c r="L91" s="6">
        <f t="shared" si="13"/>
        <v>13321169608.16</v>
      </c>
      <c r="M91" s="5">
        <f t="shared" si="14"/>
        <v>0.49971057512365091</v>
      </c>
      <c r="N91" s="5">
        <f t="shared" si="15"/>
        <v>33.320467523038559</v>
      </c>
    </row>
    <row r="92" spans="1:14" x14ac:dyDescent="0.25">
      <c r="A92" s="7">
        <v>43606</v>
      </c>
      <c r="B92" s="5">
        <v>12.4</v>
      </c>
      <c r="C92" s="5">
        <v>12.73</v>
      </c>
      <c r="D92" s="5">
        <v>12.36</v>
      </c>
      <c r="E92" s="5">
        <v>12.56</v>
      </c>
      <c r="F92" s="6">
        <v>73121048</v>
      </c>
      <c r="G92" s="5">
        <f t="shared" si="8"/>
        <v>12.549999999999999</v>
      </c>
      <c r="H92" s="6">
        <f t="shared" si="9"/>
        <v>917669152.39999998</v>
      </c>
      <c r="I92" s="6">
        <f t="shared" si="10"/>
        <v>917669152.39999998</v>
      </c>
      <c r="J92" s="6">
        <f t="shared" si="11"/>
        <v>0</v>
      </c>
      <c r="K92" s="6">
        <f t="shared" si="12"/>
        <v>7574398478.6133327</v>
      </c>
      <c r="L92" s="6">
        <f t="shared" si="13"/>
        <v>11916728133.92</v>
      </c>
      <c r="M92" s="5">
        <f t="shared" si="14"/>
        <v>0.63561057980784352</v>
      </c>
      <c r="N92" s="5">
        <f t="shared" si="15"/>
        <v>38.860752532092143</v>
      </c>
    </row>
    <row r="93" spans="1:14" x14ac:dyDescent="0.25">
      <c r="A93" s="7">
        <v>43607</v>
      </c>
      <c r="B93" s="5">
        <v>12.57</v>
      </c>
      <c r="C93" s="5">
        <v>12.57</v>
      </c>
      <c r="D93" s="5">
        <v>12.32</v>
      </c>
      <c r="E93" s="5">
        <v>12.4</v>
      </c>
      <c r="F93" s="6">
        <v>50623072</v>
      </c>
      <c r="G93" s="5">
        <f t="shared" si="8"/>
        <v>12.43</v>
      </c>
      <c r="H93" s="6">
        <f t="shared" si="9"/>
        <v>629244784.96000004</v>
      </c>
      <c r="I93" s="6">
        <f t="shared" si="10"/>
        <v>0</v>
      </c>
      <c r="J93" s="6">
        <f t="shared" si="11"/>
        <v>629244784.96000004</v>
      </c>
      <c r="K93" s="6">
        <f t="shared" si="12"/>
        <v>6121461022.2666664</v>
      </c>
      <c r="L93" s="6">
        <f t="shared" si="13"/>
        <v>12545972918.880001</v>
      </c>
      <c r="M93" s="5">
        <f t="shared" si="14"/>
        <v>0.48792238448519931</v>
      </c>
      <c r="N93" s="5">
        <f t="shared" si="15"/>
        <v>32.792193300728769</v>
      </c>
    </row>
    <row r="94" spans="1:14" x14ac:dyDescent="0.25">
      <c r="A94" s="7">
        <v>43608</v>
      </c>
      <c r="B94" s="5">
        <v>12.24</v>
      </c>
      <c r="C94" s="5">
        <v>12.42</v>
      </c>
      <c r="D94" s="5">
        <v>12.14</v>
      </c>
      <c r="E94" s="5">
        <v>12.29</v>
      </c>
      <c r="F94" s="6">
        <v>66685544</v>
      </c>
      <c r="G94" s="5">
        <f t="shared" si="8"/>
        <v>12.283333333333333</v>
      </c>
      <c r="H94" s="6">
        <f t="shared" si="9"/>
        <v>819120765.4666667</v>
      </c>
      <c r="I94" s="6">
        <f t="shared" si="10"/>
        <v>0</v>
      </c>
      <c r="J94" s="6">
        <f t="shared" si="11"/>
        <v>819120765.4666667</v>
      </c>
      <c r="K94" s="6">
        <f t="shared" si="12"/>
        <v>6121461022.2666664</v>
      </c>
      <c r="L94" s="6">
        <f t="shared" si="13"/>
        <v>11820877042.426666</v>
      </c>
      <c r="M94" s="5">
        <f t="shared" si="14"/>
        <v>0.51785167888101247</v>
      </c>
      <c r="N94" s="5">
        <f t="shared" si="15"/>
        <v>34.117409894936642</v>
      </c>
    </row>
    <row r="95" spans="1:14" x14ac:dyDescent="0.25">
      <c r="A95" s="7">
        <v>43609</v>
      </c>
      <c r="B95" s="5">
        <v>12.35</v>
      </c>
      <c r="C95" s="5">
        <v>12.45</v>
      </c>
      <c r="D95" s="5">
        <v>12.31</v>
      </c>
      <c r="E95" s="5">
        <v>12.35</v>
      </c>
      <c r="F95" s="6">
        <v>49552620</v>
      </c>
      <c r="G95" s="5">
        <f t="shared" si="8"/>
        <v>12.37</v>
      </c>
      <c r="H95" s="6">
        <f t="shared" si="9"/>
        <v>612965909.39999998</v>
      </c>
      <c r="I95" s="6">
        <f t="shared" si="10"/>
        <v>612965909.39999998</v>
      </c>
      <c r="J95" s="6">
        <f t="shared" si="11"/>
        <v>0</v>
      </c>
      <c r="K95" s="6">
        <f t="shared" si="12"/>
        <v>6734426931.666666</v>
      </c>
      <c r="L95" s="6">
        <f t="shared" si="13"/>
        <v>9084529075.3866673</v>
      </c>
      <c r="M95" s="5">
        <f t="shared" si="14"/>
        <v>0.74130721315128012</v>
      </c>
      <c r="N95" s="5">
        <f t="shared" si="15"/>
        <v>42.57187976667948</v>
      </c>
    </row>
    <row r="96" spans="1:14" x14ac:dyDescent="0.25">
      <c r="A96" s="7">
        <v>43612</v>
      </c>
      <c r="B96" s="5">
        <v>12.21</v>
      </c>
      <c r="C96" s="5">
        <v>12.42</v>
      </c>
      <c r="D96" s="5">
        <v>11.93</v>
      </c>
      <c r="E96" s="5">
        <v>12.37</v>
      </c>
      <c r="F96" s="6">
        <v>104842600</v>
      </c>
      <c r="G96" s="5">
        <f t="shared" si="8"/>
        <v>12.24</v>
      </c>
      <c r="H96" s="6">
        <f t="shared" si="9"/>
        <v>1283273424</v>
      </c>
      <c r="I96" s="6">
        <f t="shared" si="10"/>
        <v>0</v>
      </c>
      <c r="J96" s="6">
        <f t="shared" si="11"/>
        <v>1283273424</v>
      </c>
      <c r="K96" s="6">
        <f t="shared" si="12"/>
        <v>6734426931.666666</v>
      </c>
      <c r="L96" s="6">
        <f t="shared" si="13"/>
        <v>8981927846.586668</v>
      </c>
      <c r="M96" s="5">
        <f t="shared" si="14"/>
        <v>0.7497752204974456</v>
      </c>
      <c r="N96" s="5">
        <f t="shared" si="15"/>
        <v>42.849802175406921</v>
      </c>
    </row>
    <row r="97" spans="1:14" x14ac:dyDescent="0.25">
      <c r="A97" s="7">
        <v>43613</v>
      </c>
      <c r="B97" s="5">
        <v>12.31</v>
      </c>
      <c r="C97" s="5">
        <v>12.55</v>
      </c>
      <c r="D97" s="5">
        <v>12.26</v>
      </c>
      <c r="E97" s="5">
        <v>12.49</v>
      </c>
      <c r="F97" s="6">
        <v>88070312</v>
      </c>
      <c r="G97" s="5">
        <f t="shared" si="8"/>
        <v>12.433333333333335</v>
      </c>
      <c r="H97" s="6">
        <f t="shared" si="9"/>
        <v>1095007545.8666668</v>
      </c>
      <c r="I97" s="6">
        <f t="shared" si="10"/>
        <v>1095007545.8666668</v>
      </c>
      <c r="J97" s="6">
        <f t="shared" si="11"/>
        <v>0</v>
      </c>
      <c r="K97" s="6">
        <f t="shared" si="12"/>
        <v>7829434477.5333328</v>
      </c>
      <c r="L97" s="6">
        <f t="shared" si="13"/>
        <v>7746031682.9866676</v>
      </c>
      <c r="M97" s="5">
        <f t="shared" si="14"/>
        <v>1.0107671641377158</v>
      </c>
      <c r="N97" s="5">
        <f t="shared" si="15"/>
        <v>50.267737715478688</v>
      </c>
    </row>
    <row r="98" spans="1:14" x14ac:dyDescent="0.25">
      <c r="A98" s="7">
        <v>43614</v>
      </c>
      <c r="B98" s="5">
        <v>12.36</v>
      </c>
      <c r="C98" s="5">
        <v>12.59</v>
      </c>
      <c r="D98" s="5">
        <v>12.26</v>
      </c>
      <c r="E98" s="5">
        <v>12.4</v>
      </c>
      <c r="F98" s="6">
        <v>66641152</v>
      </c>
      <c r="G98" s="5">
        <f t="shared" si="8"/>
        <v>12.416666666666666</v>
      </c>
      <c r="H98" s="6">
        <f t="shared" si="9"/>
        <v>827460970.66666663</v>
      </c>
      <c r="I98" s="6">
        <f t="shared" si="10"/>
        <v>0</v>
      </c>
      <c r="J98" s="6">
        <f t="shared" si="11"/>
        <v>827460970.66666663</v>
      </c>
      <c r="K98" s="6">
        <f t="shared" si="12"/>
        <v>7829434477.5333328</v>
      </c>
      <c r="L98" s="6">
        <f t="shared" si="13"/>
        <v>6663905643.4133339</v>
      </c>
      <c r="M98" s="5">
        <f t="shared" si="14"/>
        <v>1.1749017612924963</v>
      </c>
      <c r="N98" s="5">
        <f t="shared" si="15"/>
        <v>54.020911758068465</v>
      </c>
    </row>
    <row r="99" spans="1:14" x14ac:dyDescent="0.25">
      <c r="A99" s="7">
        <v>43615</v>
      </c>
      <c r="B99" s="5">
        <v>12.32</v>
      </c>
      <c r="C99" s="5">
        <v>12.38</v>
      </c>
      <c r="D99" s="5">
        <v>12.11</v>
      </c>
      <c r="E99" s="5">
        <v>12.22</v>
      </c>
      <c r="F99" s="6">
        <v>64628464</v>
      </c>
      <c r="G99" s="5">
        <f t="shared" si="8"/>
        <v>12.236666666666666</v>
      </c>
      <c r="H99" s="6">
        <f t="shared" si="9"/>
        <v>790836971.14666665</v>
      </c>
      <c r="I99" s="6">
        <f t="shared" si="10"/>
        <v>0</v>
      </c>
      <c r="J99" s="6">
        <f t="shared" si="11"/>
        <v>790836971.14666665</v>
      </c>
      <c r="K99" s="6">
        <f t="shared" si="12"/>
        <v>6337743278.4933329</v>
      </c>
      <c r="L99" s="6">
        <f t="shared" si="13"/>
        <v>7454742614.5600004</v>
      </c>
      <c r="M99" s="5">
        <f t="shared" si="14"/>
        <v>0.8501625885935975</v>
      </c>
      <c r="N99" s="5">
        <f t="shared" si="15"/>
        <v>45.950696108272801</v>
      </c>
    </row>
    <row r="100" spans="1:14" x14ac:dyDescent="0.25">
      <c r="A100" s="7">
        <v>43616</v>
      </c>
      <c r="B100" s="5">
        <v>12.16</v>
      </c>
      <c r="C100" s="5">
        <v>12.4</v>
      </c>
      <c r="D100" s="5">
        <v>12.11</v>
      </c>
      <c r="E100" s="5">
        <v>12.18</v>
      </c>
      <c r="F100" s="6">
        <v>68679440</v>
      </c>
      <c r="G100" s="5">
        <f t="shared" si="8"/>
        <v>12.229999999999999</v>
      </c>
      <c r="H100" s="6">
        <f t="shared" si="9"/>
        <v>839949551.19999993</v>
      </c>
      <c r="I100" s="6">
        <f t="shared" si="10"/>
        <v>0</v>
      </c>
      <c r="J100" s="6">
        <f t="shared" si="11"/>
        <v>839949551.19999993</v>
      </c>
      <c r="K100" s="6">
        <f t="shared" si="12"/>
        <v>6337743278.4933329</v>
      </c>
      <c r="L100" s="6">
        <f t="shared" si="13"/>
        <v>7377929120.3200006</v>
      </c>
      <c r="M100" s="5">
        <f t="shared" si="14"/>
        <v>0.85901384726483354</v>
      </c>
      <c r="N100" s="5">
        <f t="shared" si="15"/>
        <v>46.208039199315287</v>
      </c>
    </row>
    <row r="101" spans="1:14" x14ac:dyDescent="0.25">
      <c r="A101" s="7">
        <v>43619</v>
      </c>
      <c r="B101" s="5">
        <v>12.22</v>
      </c>
      <c r="C101" s="5">
        <v>12.33</v>
      </c>
      <c r="D101" s="5">
        <v>11.82</v>
      </c>
      <c r="E101" s="5">
        <v>11.9</v>
      </c>
      <c r="F101" s="6">
        <v>151271904</v>
      </c>
      <c r="G101" s="5">
        <f t="shared" si="8"/>
        <v>12.016666666666666</v>
      </c>
      <c r="H101" s="6">
        <f t="shared" si="9"/>
        <v>1817784046.3999999</v>
      </c>
      <c r="I101" s="6">
        <f t="shared" si="10"/>
        <v>0</v>
      </c>
      <c r="J101" s="6">
        <f t="shared" si="11"/>
        <v>1817784046.3999999</v>
      </c>
      <c r="K101" s="6">
        <f t="shared" si="12"/>
        <v>4863437572.3600006</v>
      </c>
      <c r="L101" s="6">
        <f t="shared" si="13"/>
        <v>9195713166.7200012</v>
      </c>
      <c r="M101" s="5">
        <f t="shared" si="14"/>
        <v>0.52888095617870712</v>
      </c>
      <c r="N101" s="5">
        <f t="shared" si="15"/>
        <v>34.59268388695186</v>
      </c>
    </row>
    <row r="102" spans="1:14" x14ac:dyDescent="0.25">
      <c r="A102" s="7">
        <v>43620</v>
      </c>
      <c r="B102" s="5">
        <v>11.89</v>
      </c>
      <c r="C102" s="5">
        <v>11.94</v>
      </c>
      <c r="D102" s="5">
        <v>11.6</v>
      </c>
      <c r="E102" s="5">
        <v>11.85</v>
      </c>
      <c r="F102" s="6">
        <v>97465536</v>
      </c>
      <c r="G102" s="5">
        <f t="shared" si="8"/>
        <v>11.796666666666667</v>
      </c>
      <c r="H102" s="6">
        <f t="shared" si="9"/>
        <v>1149768439.6800001</v>
      </c>
      <c r="I102" s="6">
        <f t="shared" si="10"/>
        <v>0</v>
      </c>
      <c r="J102" s="6">
        <f t="shared" si="11"/>
        <v>1149768439.6800001</v>
      </c>
      <c r="K102" s="6">
        <f t="shared" si="12"/>
        <v>3442972394.7600002</v>
      </c>
      <c r="L102" s="6">
        <f t="shared" si="13"/>
        <v>10345481606.400002</v>
      </c>
      <c r="M102" s="5">
        <f t="shared" si="14"/>
        <v>0.33279962458490886</v>
      </c>
      <c r="N102" s="5">
        <f t="shared" si="15"/>
        <v>24.96996686118942</v>
      </c>
    </row>
    <row r="103" spans="1:14" x14ac:dyDescent="0.25">
      <c r="A103" s="7">
        <v>43621</v>
      </c>
      <c r="B103" s="5">
        <v>11.97</v>
      </c>
      <c r="C103" s="5">
        <v>12.14</v>
      </c>
      <c r="D103" s="5">
        <v>11.92</v>
      </c>
      <c r="E103" s="5">
        <v>11.97</v>
      </c>
      <c r="F103" s="6">
        <v>74889232</v>
      </c>
      <c r="G103" s="5">
        <f t="shared" si="8"/>
        <v>12.01</v>
      </c>
      <c r="H103" s="6">
        <f t="shared" si="9"/>
        <v>899419676.31999993</v>
      </c>
      <c r="I103" s="6">
        <f t="shared" si="10"/>
        <v>899419676.31999993</v>
      </c>
      <c r="J103" s="6">
        <f t="shared" si="11"/>
        <v>0</v>
      </c>
      <c r="K103" s="6">
        <f t="shared" si="12"/>
        <v>3525062283.9866667</v>
      </c>
      <c r="L103" s="6">
        <f t="shared" si="13"/>
        <v>10345481606.400002</v>
      </c>
      <c r="M103" s="5">
        <f t="shared" si="14"/>
        <v>0.34073447888650882</v>
      </c>
      <c r="N103" s="5">
        <f t="shared" si="15"/>
        <v>25.414016291241467</v>
      </c>
    </row>
    <row r="104" spans="1:14" x14ac:dyDescent="0.25">
      <c r="A104" s="7">
        <v>43622</v>
      </c>
      <c r="B104" s="5">
        <v>11.97</v>
      </c>
      <c r="C104" s="5">
        <v>12.07</v>
      </c>
      <c r="D104" s="5">
        <v>11.89</v>
      </c>
      <c r="E104" s="5">
        <v>11.92</v>
      </c>
      <c r="F104" s="6">
        <v>43366528</v>
      </c>
      <c r="G104" s="5">
        <f t="shared" si="8"/>
        <v>11.96</v>
      </c>
      <c r="H104" s="6">
        <f t="shared" si="9"/>
        <v>518663674.88000005</v>
      </c>
      <c r="I104" s="6">
        <f t="shared" si="10"/>
        <v>0</v>
      </c>
      <c r="J104" s="6">
        <f t="shared" si="11"/>
        <v>518663674.88000005</v>
      </c>
      <c r="K104" s="6">
        <f t="shared" si="12"/>
        <v>3525062283.9866667</v>
      </c>
      <c r="L104" s="6">
        <f t="shared" si="13"/>
        <v>9650495841.1999989</v>
      </c>
      <c r="M104" s="5">
        <f t="shared" si="14"/>
        <v>0.36527265976712137</v>
      </c>
      <c r="N104" s="5">
        <f t="shared" si="15"/>
        <v>26.754557571630201</v>
      </c>
    </row>
    <row r="105" spans="1:14" x14ac:dyDescent="0.25">
      <c r="A105" s="7">
        <v>43626</v>
      </c>
      <c r="B105" s="5">
        <v>12.01</v>
      </c>
      <c r="C105" s="5">
        <v>12.47</v>
      </c>
      <c r="D105" s="5">
        <v>11.98</v>
      </c>
      <c r="E105" s="5">
        <v>12.34</v>
      </c>
      <c r="F105" s="6">
        <v>114466880</v>
      </c>
      <c r="G105" s="5">
        <f t="shared" si="8"/>
        <v>12.263333333333335</v>
      </c>
      <c r="H105" s="6">
        <f t="shared" si="9"/>
        <v>1403745505.0666668</v>
      </c>
      <c r="I105" s="6">
        <f t="shared" si="10"/>
        <v>1403745505.0666668</v>
      </c>
      <c r="J105" s="6">
        <f t="shared" si="11"/>
        <v>0</v>
      </c>
      <c r="K105" s="6">
        <f t="shared" si="12"/>
        <v>4928807789.0533333</v>
      </c>
      <c r="L105" s="6">
        <f t="shared" si="13"/>
        <v>8676102628.3999996</v>
      </c>
      <c r="M105" s="5">
        <f t="shared" si="14"/>
        <v>0.56809007455946581</v>
      </c>
      <c r="N105" s="5">
        <f t="shared" si="15"/>
        <v>36.228153202172606</v>
      </c>
    </row>
    <row r="106" spans="1:14" x14ac:dyDescent="0.25">
      <c r="A106" s="7">
        <v>43627</v>
      </c>
      <c r="B106" s="5">
        <v>12.34</v>
      </c>
      <c r="C106" s="5">
        <v>12.72</v>
      </c>
      <c r="D106" s="5">
        <v>12.3</v>
      </c>
      <c r="E106" s="5">
        <v>12.65</v>
      </c>
      <c r="F106" s="6">
        <v>125108752</v>
      </c>
      <c r="G106" s="5">
        <f t="shared" si="8"/>
        <v>12.556666666666667</v>
      </c>
      <c r="H106" s="6">
        <f t="shared" si="9"/>
        <v>1570948895.9466667</v>
      </c>
      <c r="I106" s="6">
        <f t="shared" si="10"/>
        <v>1570948895.9466667</v>
      </c>
      <c r="J106" s="6">
        <f t="shared" si="11"/>
        <v>0</v>
      </c>
      <c r="K106" s="6">
        <f t="shared" si="12"/>
        <v>5582087532.6000004</v>
      </c>
      <c r="L106" s="6">
        <f t="shared" si="13"/>
        <v>8676102628.3999996</v>
      </c>
      <c r="M106" s="5">
        <f t="shared" si="14"/>
        <v>0.64338652637969307</v>
      </c>
      <c r="N106" s="5">
        <f t="shared" si="15"/>
        <v>39.150042674199405</v>
      </c>
    </row>
    <row r="107" spans="1:14" x14ac:dyDescent="0.25">
      <c r="A107" s="7">
        <v>43628</v>
      </c>
      <c r="B107" s="5">
        <v>12.63</v>
      </c>
      <c r="C107" s="5">
        <v>12.66</v>
      </c>
      <c r="D107" s="5">
        <v>12.44</v>
      </c>
      <c r="E107" s="5">
        <v>12.57</v>
      </c>
      <c r="F107" s="6">
        <v>65731016</v>
      </c>
      <c r="G107" s="5">
        <f t="shared" si="8"/>
        <v>12.556666666666667</v>
      </c>
      <c r="H107" s="6">
        <f t="shared" si="9"/>
        <v>825362457.57333338</v>
      </c>
      <c r="I107" s="6">
        <f t="shared" si="10"/>
        <v>0</v>
      </c>
      <c r="J107" s="6">
        <f t="shared" si="11"/>
        <v>0</v>
      </c>
      <c r="K107" s="6">
        <f t="shared" si="12"/>
        <v>5582087532.6000004</v>
      </c>
      <c r="L107" s="6">
        <f t="shared" si="13"/>
        <v>8046857843.4399996</v>
      </c>
      <c r="M107" s="5">
        <f t="shared" si="14"/>
        <v>0.69369779374823404</v>
      </c>
      <c r="N107" s="5">
        <f t="shared" si="15"/>
        <v>40.957589737012512</v>
      </c>
    </row>
    <row r="108" spans="1:14" x14ac:dyDescent="0.25">
      <c r="A108" s="7">
        <v>43629</v>
      </c>
      <c r="B108" s="5">
        <v>12.54</v>
      </c>
      <c r="C108" s="5">
        <v>12.68</v>
      </c>
      <c r="D108" s="5">
        <v>12.43</v>
      </c>
      <c r="E108" s="5">
        <v>12.59</v>
      </c>
      <c r="F108" s="6">
        <v>53000024</v>
      </c>
      <c r="G108" s="5">
        <f t="shared" si="8"/>
        <v>12.566666666666668</v>
      </c>
      <c r="H108" s="6">
        <f t="shared" si="9"/>
        <v>666033634.9333334</v>
      </c>
      <c r="I108" s="6">
        <f t="shared" si="10"/>
        <v>666033634.9333334</v>
      </c>
      <c r="J108" s="6">
        <f t="shared" si="11"/>
        <v>0</v>
      </c>
      <c r="K108" s="6">
        <f t="shared" si="12"/>
        <v>6248121167.5333338</v>
      </c>
      <c r="L108" s="6">
        <f t="shared" si="13"/>
        <v>7227737077.9733334</v>
      </c>
      <c r="M108" s="5">
        <f t="shared" si="14"/>
        <v>0.86446436832554441</v>
      </c>
      <c r="N108" s="5">
        <f t="shared" si="15"/>
        <v>46.365293057432396</v>
      </c>
    </row>
    <row r="109" spans="1:14" x14ac:dyDescent="0.25">
      <c r="A109" s="7">
        <v>43630</v>
      </c>
      <c r="B109" s="5">
        <v>12.59</v>
      </c>
      <c r="C109" s="5">
        <v>12.69</v>
      </c>
      <c r="D109" s="5">
        <v>12.45</v>
      </c>
      <c r="E109" s="5">
        <v>12.49</v>
      </c>
      <c r="F109" s="6">
        <v>48319172</v>
      </c>
      <c r="G109" s="5">
        <f t="shared" si="8"/>
        <v>12.543333333333335</v>
      </c>
      <c r="H109" s="6">
        <f t="shared" si="9"/>
        <v>606083480.78666675</v>
      </c>
      <c r="I109" s="6">
        <f t="shared" si="10"/>
        <v>0</v>
      </c>
      <c r="J109" s="6">
        <f t="shared" si="11"/>
        <v>606083480.78666675</v>
      </c>
      <c r="K109" s="6">
        <f t="shared" si="12"/>
        <v>5635155258.1333342</v>
      </c>
      <c r="L109" s="6">
        <f t="shared" si="13"/>
        <v>7833820558.7600002</v>
      </c>
      <c r="M109" s="5">
        <f t="shared" si="14"/>
        <v>0.71933678029323045</v>
      </c>
      <c r="N109" s="5">
        <f t="shared" si="15"/>
        <v>41.838038279536406</v>
      </c>
    </row>
    <row r="110" spans="1:14" x14ac:dyDescent="0.25">
      <c r="A110" s="7">
        <v>43633</v>
      </c>
      <c r="B110" s="5">
        <v>12.48</v>
      </c>
      <c r="C110" s="5">
        <v>12.79</v>
      </c>
      <c r="D110" s="5">
        <v>12.48</v>
      </c>
      <c r="E110" s="5">
        <v>12.67</v>
      </c>
      <c r="F110" s="6">
        <v>61981588</v>
      </c>
      <c r="G110" s="5">
        <f t="shared" si="8"/>
        <v>12.646666666666667</v>
      </c>
      <c r="H110" s="6">
        <f t="shared" si="9"/>
        <v>783860482.90666664</v>
      </c>
      <c r="I110" s="6">
        <f t="shared" si="10"/>
        <v>783860482.90666664</v>
      </c>
      <c r="J110" s="6">
        <f t="shared" si="11"/>
        <v>0</v>
      </c>
      <c r="K110" s="6">
        <f t="shared" si="12"/>
        <v>6419015741.0400009</v>
      </c>
      <c r="L110" s="6">
        <f t="shared" si="13"/>
        <v>6550547134.7600002</v>
      </c>
      <c r="M110" s="5">
        <f t="shared" si="14"/>
        <v>0.97992054846502252</v>
      </c>
      <c r="N110" s="5">
        <f t="shared" si="15"/>
        <v>49.492922795549944</v>
      </c>
    </row>
    <row r="111" spans="1:14" x14ac:dyDescent="0.25">
      <c r="A111" s="7">
        <v>43634</v>
      </c>
      <c r="B111" s="5">
        <v>12.67</v>
      </c>
      <c r="C111" s="5">
        <v>12.85</v>
      </c>
      <c r="D111" s="5">
        <v>12.59</v>
      </c>
      <c r="E111" s="5">
        <v>12.8</v>
      </c>
      <c r="F111" s="6">
        <v>48355512</v>
      </c>
      <c r="G111" s="5">
        <f t="shared" si="8"/>
        <v>12.746666666666664</v>
      </c>
      <c r="H111" s="6">
        <f t="shared" si="9"/>
        <v>616371592.95999992</v>
      </c>
      <c r="I111" s="6">
        <f t="shared" si="10"/>
        <v>616371592.95999992</v>
      </c>
      <c r="J111" s="6">
        <f t="shared" si="11"/>
        <v>0</v>
      </c>
      <c r="K111" s="6">
        <f t="shared" si="12"/>
        <v>5940379788.1333332</v>
      </c>
      <c r="L111" s="6">
        <f t="shared" si="13"/>
        <v>6550547134.7600002</v>
      </c>
      <c r="M111" s="5">
        <f t="shared" si="14"/>
        <v>0.90685246070685321</v>
      </c>
      <c r="N111" s="5">
        <f t="shared" si="15"/>
        <v>47.5575577761633</v>
      </c>
    </row>
    <row r="112" spans="1:14" x14ac:dyDescent="0.25">
      <c r="A112" s="7">
        <v>43635</v>
      </c>
      <c r="B112" s="5">
        <v>13.29</v>
      </c>
      <c r="C112" s="5">
        <v>13.39</v>
      </c>
      <c r="D112" s="5">
        <v>13.01</v>
      </c>
      <c r="E112" s="5">
        <v>13.07</v>
      </c>
      <c r="F112" s="6">
        <v>114322640</v>
      </c>
      <c r="G112" s="5">
        <f t="shared" si="8"/>
        <v>13.156666666666666</v>
      </c>
      <c r="H112" s="6">
        <f t="shared" si="9"/>
        <v>1504104866.9333334</v>
      </c>
      <c r="I112" s="6">
        <f t="shared" si="10"/>
        <v>1504104866.9333334</v>
      </c>
      <c r="J112" s="6">
        <f t="shared" si="11"/>
        <v>0</v>
      </c>
      <c r="K112" s="6">
        <f t="shared" si="12"/>
        <v>7444484655.0666666</v>
      </c>
      <c r="L112" s="6">
        <f t="shared" si="13"/>
        <v>5723086164.0933332</v>
      </c>
      <c r="M112" s="5">
        <f t="shared" si="14"/>
        <v>1.3007815087204864</v>
      </c>
      <c r="N112" s="5">
        <f t="shared" si="15"/>
        <v>56.536507434114363</v>
      </c>
    </row>
    <row r="113" spans="1:14" x14ac:dyDescent="0.25">
      <c r="A113" s="7">
        <v>43636</v>
      </c>
      <c r="B113" s="5">
        <v>13.17</v>
      </c>
      <c r="C113" s="5">
        <v>13.95</v>
      </c>
      <c r="D113" s="5">
        <v>13.12</v>
      </c>
      <c r="E113" s="5">
        <v>13.8</v>
      </c>
      <c r="F113" s="6">
        <v>152919152</v>
      </c>
      <c r="G113" s="5">
        <f t="shared" si="8"/>
        <v>13.623333333333335</v>
      </c>
      <c r="H113" s="6">
        <f t="shared" si="9"/>
        <v>2083268580.7466669</v>
      </c>
      <c r="I113" s="6">
        <f t="shared" si="10"/>
        <v>2083268580.7466669</v>
      </c>
      <c r="J113" s="6">
        <f t="shared" si="11"/>
        <v>0</v>
      </c>
      <c r="K113" s="6">
        <f t="shared" si="12"/>
        <v>9527753235.8133335</v>
      </c>
      <c r="L113" s="6">
        <f t="shared" si="13"/>
        <v>4932249192.9466667</v>
      </c>
      <c r="M113" s="5">
        <f t="shared" si="14"/>
        <v>1.9317258441520837</v>
      </c>
      <c r="N113" s="5">
        <f t="shared" si="15"/>
        <v>65.890398585710159</v>
      </c>
    </row>
    <row r="114" spans="1:14" x14ac:dyDescent="0.25">
      <c r="A114" s="7">
        <v>43637</v>
      </c>
      <c r="B114" s="5">
        <v>13.76</v>
      </c>
      <c r="C114" s="5">
        <v>13.87</v>
      </c>
      <c r="D114" s="5">
        <v>13.58</v>
      </c>
      <c r="E114" s="5">
        <v>13.64</v>
      </c>
      <c r="F114" s="6">
        <v>101112912</v>
      </c>
      <c r="G114" s="5">
        <f t="shared" si="8"/>
        <v>13.696666666666667</v>
      </c>
      <c r="H114" s="6">
        <f t="shared" si="9"/>
        <v>1384909851.3600001</v>
      </c>
      <c r="I114" s="6">
        <f t="shared" si="10"/>
        <v>1384909851.3600001</v>
      </c>
      <c r="J114" s="6">
        <f t="shared" si="11"/>
        <v>0</v>
      </c>
      <c r="K114" s="6">
        <f t="shared" si="12"/>
        <v>10912663087.173334</v>
      </c>
      <c r="L114" s="6">
        <f t="shared" si="13"/>
        <v>4092299641.7466669</v>
      </c>
      <c r="M114" s="5">
        <f t="shared" si="14"/>
        <v>2.6666334439077422</v>
      </c>
      <c r="N114" s="5">
        <f t="shared" si="15"/>
        <v>72.727025613603672</v>
      </c>
    </row>
    <row r="115" spans="1:14" x14ac:dyDescent="0.25">
      <c r="A115" s="7">
        <v>43640</v>
      </c>
      <c r="B115" s="5">
        <v>13.69</v>
      </c>
      <c r="C115" s="5">
        <v>13.83</v>
      </c>
      <c r="D115" s="5">
        <v>13.61</v>
      </c>
      <c r="E115" s="5">
        <v>13.69</v>
      </c>
      <c r="F115" s="6">
        <v>65957284</v>
      </c>
      <c r="G115" s="5">
        <f t="shared" si="8"/>
        <v>13.709999999999999</v>
      </c>
      <c r="H115" s="6">
        <f t="shared" si="9"/>
        <v>904274363.63999999</v>
      </c>
      <c r="I115" s="6">
        <f t="shared" si="10"/>
        <v>904274363.63999999</v>
      </c>
      <c r="J115" s="6">
        <f t="shared" si="11"/>
        <v>0</v>
      </c>
      <c r="K115" s="6">
        <f t="shared" si="12"/>
        <v>11816937450.813334</v>
      </c>
      <c r="L115" s="6">
        <f t="shared" si="13"/>
        <v>2274515595.3466668</v>
      </c>
      <c r="M115" s="5">
        <f t="shared" si="14"/>
        <v>5.195364443747537</v>
      </c>
      <c r="N115" s="5">
        <f t="shared" si="15"/>
        <v>83.858899519475145</v>
      </c>
    </row>
    <row r="116" spans="1:14" x14ac:dyDescent="0.25">
      <c r="A116" s="7">
        <v>43641</v>
      </c>
      <c r="B116" s="5">
        <v>13.72</v>
      </c>
      <c r="C116" s="5">
        <v>13.72</v>
      </c>
      <c r="D116" s="5">
        <v>13.07</v>
      </c>
      <c r="E116" s="5">
        <v>13.43</v>
      </c>
      <c r="F116" s="6">
        <v>146922704</v>
      </c>
      <c r="G116" s="5">
        <f t="shared" si="8"/>
        <v>13.406666666666666</v>
      </c>
      <c r="H116" s="6">
        <f t="shared" si="9"/>
        <v>1969743718.2933333</v>
      </c>
      <c r="I116" s="6">
        <f t="shared" si="10"/>
        <v>0</v>
      </c>
      <c r="J116" s="6">
        <f t="shared" si="11"/>
        <v>1969743718.2933333</v>
      </c>
      <c r="K116" s="6">
        <f t="shared" si="12"/>
        <v>11816937450.813334</v>
      </c>
      <c r="L116" s="6">
        <f t="shared" si="13"/>
        <v>3094490873.96</v>
      </c>
      <c r="M116" s="5">
        <f t="shared" si="14"/>
        <v>3.8187016643843821</v>
      </c>
      <c r="N116" s="5">
        <f t="shared" si="15"/>
        <v>79.247522057837216</v>
      </c>
    </row>
    <row r="117" spans="1:14" x14ac:dyDescent="0.25">
      <c r="A117" s="7">
        <v>43642</v>
      </c>
      <c r="B117" s="5">
        <v>13.42</v>
      </c>
      <c r="C117" s="5">
        <v>13.65</v>
      </c>
      <c r="D117" s="5">
        <v>13.34</v>
      </c>
      <c r="E117" s="5">
        <v>13.52</v>
      </c>
      <c r="F117" s="6">
        <v>54650476</v>
      </c>
      <c r="G117" s="5">
        <f t="shared" si="8"/>
        <v>13.503333333333336</v>
      </c>
      <c r="H117" s="6">
        <f t="shared" si="9"/>
        <v>737963594.25333345</v>
      </c>
      <c r="I117" s="6">
        <f t="shared" si="10"/>
        <v>737963594.25333345</v>
      </c>
      <c r="J117" s="6">
        <f t="shared" si="11"/>
        <v>0</v>
      </c>
      <c r="K117" s="6">
        <f t="shared" si="12"/>
        <v>11655481368.746668</v>
      </c>
      <c r="L117" s="6">
        <f t="shared" si="13"/>
        <v>3094490873.96</v>
      </c>
      <c r="M117" s="5">
        <f t="shared" si="14"/>
        <v>3.7665263345343862</v>
      </c>
      <c r="N117" s="5">
        <f t="shared" si="15"/>
        <v>79.020361373967233</v>
      </c>
    </row>
    <row r="118" spans="1:14" x14ac:dyDescent="0.25">
      <c r="A118" s="7">
        <v>43643</v>
      </c>
      <c r="B118" s="5">
        <v>13.65</v>
      </c>
      <c r="C118" s="5">
        <v>14</v>
      </c>
      <c r="D118" s="5">
        <v>13.6</v>
      </c>
      <c r="E118" s="5">
        <v>13.86</v>
      </c>
      <c r="F118" s="6">
        <v>92507496</v>
      </c>
      <c r="G118" s="5">
        <f t="shared" si="8"/>
        <v>13.82</v>
      </c>
      <c r="H118" s="6">
        <f t="shared" si="9"/>
        <v>1278453594.72</v>
      </c>
      <c r="I118" s="6">
        <f t="shared" si="10"/>
        <v>1278453594.72</v>
      </c>
      <c r="J118" s="6">
        <f t="shared" si="11"/>
        <v>0</v>
      </c>
      <c r="K118" s="6">
        <f t="shared" si="12"/>
        <v>12933934963.466667</v>
      </c>
      <c r="L118" s="6">
        <f t="shared" si="13"/>
        <v>2575827199.0799999</v>
      </c>
      <c r="M118" s="5">
        <f t="shared" si="14"/>
        <v>5.0212743184349637</v>
      </c>
      <c r="N118" s="5">
        <f t="shared" si="15"/>
        <v>83.392219867173935</v>
      </c>
    </row>
    <row r="119" spans="1:14" x14ac:dyDescent="0.25">
      <c r="A119" s="7">
        <v>43644</v>
      </c>
      <c r="B119" s="5">
        <v>13.88</v>
      </c>
      <c r="C119" s="5">
        <v>13.94</v>
      </c>
      <c r="D119" s="5">
        <v>13.73</v>
      </c>
      <c r="E119" s="5">
        <v>13.93</v>
      </c>
      <c r="F119" s="6">
        <v>49809368</v>
      </c>
      <c r="G119" s="5">
        <f t="shared" si="8"/>
        <v>13.866666666666667</v>
      </c>
      <c r="H119" s="6">
        <f t="shared" si="9"/>
        <v>690689902.9333334</v>
      </c>
      <c r="I119" s="6">
        <f t="shared" si="10"/>
        <v>690689902.9333334</v>
      </c>
      <c r="J119" s="6">
        <f t="shared" si="11"/>
        <v>0</v>
      </c>
      <c r="K119" s="6">
        <f t="shared" si="12"/>
        <v>12220879361.333332</v>
      </c>
      <c r="L119" s="6">
        <f t="shared" si="13"/>
        <v>2575827199.0799999</v>
      </c>
      <c r="M119" s="5">
        <f t="shared" si="14"/>
        <v>4.7444484496856871</v>
      </c>
      <c r="N119" s="5">
        <f t="shared" si="15"/>
        <v>82.591888346483188</v>
      </c>
    </row>
    <row r="120" spans="1:14" x14ac:dyDescent="0.25">
      <c r="A120" s="7">
        <v>43647</v>
      </c>
      <c r="B120" s="5">
        <v>14.16</v>
      </c>
      <c r="C120" s="5">
        <v>14.33</v>
      </c>
      <c r="D120" s="5">
        <v>14.02</v>
      </c>
      <c r="E120" s="5">
        <v>14.08</v>
      </c>
      <c r="F120" s="6">
        <v>96063600</v>
      </c>
      <c r="G120" s="5">
        <f t="shared" si="8"/>
        <v>14.143333333333333</v>
      </c>
      <c r="H120" s="6">
        <f t="shared" si="9"/>
        <v>1358659516</v>
      </c>
      <c r="I120" s="6">
        <f t="shared" si="10"/>
        <v>1358659516</v>
      </c>
      <c r="J120" s="6">
        <f t="shared" si="11"/>
        <v>0</v>
      </c>
      <c r="K120" s="6">
        <f t="shared" si="12"/>
        <v>12008589981.386665</v>
      </c>
      <c r="L120" s="6">
        <f t="shared" si="13"/>
        <v>2575827199.0799999</v>
      </c>
      <c r="M120" s="5">
        <f t="shared" si="14"/>
        <v>4.6620324475476211</v>
      </c>
      <c r="N120" s="5">
        <f t="shared" si="15"/>
        <v>82.338497540169925</v>
      </c>
    </row>
    <row r="121" spans="1:14" x14ac:dyDescent="0.25">
      <c r="A121" s="7">
        <v>43648</v>
      </c>
      <c r="B121" s="5">
        <v>14.03</v>
      </c>
      <c r="C121" s="5">
        <v>14.39</v>
      </c>
      <c r="D121" s="5">
        <v>14.01</v>
      </c>
      <c r="E121" s="5">
        <v>14.33</v>
      </c>
      <c r="F121" s="6">
        <v>105274488</v>
      </c>
      <c r="G121" s="5">
        <f t="shared" si="8"/>
        <v>14.243333333333332</v>
      </c>
      <c r="H121" s="6">
        <f t="shared" si="9"/>
        <v>1499459624.0799999</v>
      </c>
      <c r="I121" s="6">
        <f t="shared" si="10"/>
        <v>1499459624.0799999</v>
      </c>
      <c r="J121" s="6">
        <f t="shared" si="11"/>
        <v>0</v>
      </c>
      <c r="K121" s="6">
        <f t="shared" si="12"/>
        <v>13508049605.466665</v>
      </c>
      <c r="L121" s="6">
        <f t="shared" si="13"/>
        <v>2575827199.0799999</v>
      </c>
      <c r="M121" s="5">
        <f t="shared" si="14"/>
        <v>5.244159860681374</v>
      </c>
      <c r="N121" s="5">
        <f t="shared" si="15"/>
        <v>83.985035259957641</v>
      </c>
    </row>
    <row r="122" spans="1:14" x14ac:dyDescent="0.25">
      <c r="A122" s="7">
        <v>43649</v>
      </c>
      <c r="B122" s="5">
        <v>14.33</v>
      </c>
      <c r="C122" s="5">
        <v>14.36</v>
      </c>
      <c r="D122" s="5">
        <v>14.02</v>
      </c>
      <c r="E122" s="5">
        <v>14.16</v>
      </c>
      <c r="F122" s="6">
        <v>76907848</v>
      </c>
      <c r="G122" s="5">
        <f t="shared" si="8"/>
        <v>14.18</v>
      </c>
      <c r="H122" s="6">
        <f t="shared" si="9"/>
        <v>1090553284.6399999</v>
      </c>
      <c r="I122" s="6">
        <f t="shared" si="10"/>
        <v>0</v>
      </c>
      <c r="J122" s="6">
        <f t="shared" si="11"/>
        <v>1090553284.6399999</v>
      </c>
      <c r="K122" s="6">
        <f t="shared" si="12"/>
        <v>12842015970.533335</v>
      </c>
      <c r="L122" s="6">
        <f t="shared" si="13"/>
        <v>3666380483.7199998</v>
      </c>
      <c r="M122" s="5">
        <f t="shared" si="14"/>
        <v>3.5026413727534109</v>
      </c>
      <c r="N122" s="5">
        <f t="shared" si="15"/>
        <v>77.79081394198424</v>
      </c>
    </row>
    <row r="123" spans="1:14" x14ac:dyDescent="0.25">
      <c r="A123" s="7">
        <v>43650</v>
      </c>
      <c r="B123" s="5">
        <v>14.16</v>
      </c>
      <c r="C123" s="5">
        <v>14.43</v>
      </c>
      <c r="D123" s="5">
        <v>14.03</v>
      </c>
      <c r="E123" s="5">
        <v>14.14</v>
      </c>
      <c r="F123" s="6">
        <v>62129252</v>
      </c>
      <c r="G123" s="5">
        <f t="shared" si="8"/>
        <v>14.200000000000001</v>
      </c>
      <c r="H123" s="6">
        <f t="shared" si="9"/>
        <v>882235378.4000001</v>
      </c>
      <c r="I123" s="6">
        <f t="shared" si="10"/>
        <v>882235378.4000001</v>
      </c>
      <c r="J123" s="6">
        <f t="shared" si="11"/>
        <v>0</v>
      </c>
      <c r="K123" s="6">
        <f t="shared" si="12"/>
        <v>13724251348.933334</v>
      </c>
      <c r="L123" s="6">
        <f t="shared" si="13"/>
        <v>3060297002.9333334</v>
      </c>
      <c r="M123" s="5">
        <f t="shared" si="14"/>
        <v>4.4846141847599972</v>
      </c>
      <c r="N123" s="5">
        <f t="shared" si="15"/>
        <v>81.767176936917778</v>
      </c>
    </row>
    <row r="124" spans="1:14" x14ac:dyDescent="0.25">
      <c r="A124" s="7">
        <v>43651</v>
      </c>
      <c r="B124" s="5">
        <v>14.1</v>
      </c>
      <c r="C124" s="5">
        <v>14.13</v>
      </c>
      <c r="D124" s="5">
        <v>13.84</v>
      </c>
      <c r="E124" s="5">
        <v>14.07</v>
      </c>
      <c r="F124" s="6">
        <v>74919608</v>
      </c>
      <c r="G124" s="5">
        <f t="shared" si="8"/>
        <v>14.013333333333334</v>
      </c>
      <c r="H124" s="6">
        <f t="shared" si="9"/>
        <v>1049873440.1066667</v>
      </c>
      <c r="I124" s="6">
        <f t="shared" si="10"/>
        <v>0</v>
      </c>
      <c r="J124" s="6">
        <f t="shared" si="11"/>
        <v>1049873440.1066667</v>
      </c>
      <c r="K124" s="6">
        <f t="shared" si="12"/>
        <v>12940390866.026667</v>
      </c>
      <c r="L124" s="6">
        <f t="shared" si="13"/>
        <v>4110170443.04</v>
      </c>
      <c r="M124" s="5">
        <f t="shared" si="14"/>
        <v>3.148383028236557</v>
      </c>
      <c r="N124" s="5">
        <f t="shared" si="15"/>
        <v>75.894222081390311</v>
      </c>
    </row>
    <row r="125" spans="1:14" x14ac:dyDescent="0.25">
      <c r="A125" s="7">
        <v>43654</v>
      </c>
      <c r="B125" s="5">
        <v>13.97</v>
      </c>
      <c r="C125" s="5">
        <v>14.03</v>
      </c>
      <c r="D125" s="5">
        <v>13.6</v>
      </c>
      <c r="E125" s="5">
        <v>13.74</v>
      </c>
      <c r="F125" s="6">
        <v>77841392</v>
      </c>
      <c r="G125" s="5">
        <f t="shared" si="8"/>
        <v>13.79</v>
      </c>
      <c r="H125" s="6">
        <f t="shared" si="9"/>
        <v>1073432795.6799999</v>
      </c>
      <c r="I125" s="6">
        <f t="shared" si="10"/>
        <v>0</v>
      </c>
      <c r="J125" s="6">
        <f t="shared" si="11"/>
        <v>1073432795.6799999</v>
      </c>
      <c r="K125" s="6">
        <f t="shared" si="12"/>
        <v>12324019273.066668</v>
      </c>
      <c r="L125" s="6">
        <f t="shared" si="13"/>
        <v>5183603238.7200003</v>
      </c>
      <c r="M125" s="5">
        <f t="shared" si="14"/>
        <v>2.3775004963747701</v>
      </c>
      <c r="N125" s="5">
        <f t="shared" si="15"/>
        <v>70.39230634981854</v>
      </c>
    </row>
    <row r="126" spans="1:14" x14ac:dyDescent="0.25">
      <c r="A126" s="7">
        <v>43655</v>
      </c>
      <c r="B126" s="5">
        <v>13.78</v>
      </c>
      <c r="C126" s="5">
        <v>13.86</v>
      </c>
      <c r="D126" s="5">
        <v>13.59</v>
      </c>
      <c r="E126" s="5">
        <v>13.74</v>
      </c>
      <c r="F126" s="6">
        <v>49429612</v>
      </c>
      <c r="G126" s="5">
        <f t="shared" si="8"/>
        <v>13.729999999999999</v>
      </c>
      <c r="H126" s="6">
        <f t="shared" si="9"/>
        <v>678668572.75999999</v>
      </c>
      <c r="I126" s="6">
        <f t="shared" si="10"/>
        <v>0</v>
      </c>
      <c r="J126" s="6">
        <f t="shared" si="11"/>
        <v>678668572.75999999</v>
      </c>
      <c r="K126" s="6">
        <f t="shared" si="12"/>
        <v>10819914406.133333</v>
      </c>
      <c r="L126" s="6">
        <f t="shared" si="13"/>
        <v>5862271811.4800005</v>
      </c>
      <c r="M126" s="5">
        <f t="shared" si="14"/>
        <v>1.8456862380459491</v>
      </c>
      <c r="N126" s="5">
        <f t="shared" si="15"/>
        <v>64.859091398401276</v>
      </c>
    </row>
    <row r="127" spans="1:14" x14ac:dyDescent="0.25">
      <c r="A127" s="7">
        <v>43656</v>
      </c>
      <c r="B127" s="5">
        <v>13.76</v>
      </c>
      <c r="C127" s="5">
        <v>13.85</v>
      </c>
      <c r="D127" s="5">
        <v>13.64</v>
      </c>
      <c r="E127" s="5">
        <v>13.71</v>
      </c>
      <c r="F127" s="6">
        <v>35822080</v>
      </c>
      <c r="G127" s="5">
        <f t="shared" si="8"/>
        <v>13.733333333333334</v>
      </c>
      <c r="H127" s="6">
        <f t="shared" si="9"/>
        <v>491956565.33333337</v>
      </c>
      <c r="I127" s="6">
        <f t="shared" si="10"/>
        <v>491956565.33333337</v>
      </c>
      <c r="J127" s="6">
        <f t="shared" si="11"/>
        <v>0</v>
      </c>
      <c r="K127" s="6">
        <f t="shared" si="12"/>
        <v>9228602390.7200012</v>
      </c>
      <c r="L127" s="6">
        <f t="shared" si="13"/>
        <v>5862271811.4800005</v>
      </c>
      <c r="M127" s="5">
        <f t="shared" si="14"/>
        <v>1.5742365225453663</v>
      </c>
      <c r="N127" s="5">
        <f t="shared" si="15"/>
        <v>61.153530717091407</v>
      </c>
    </row>
    <row r="128" spans="1:14" x14ac:dyDescent="0.25">
      <c r="A128" s="7">
        <v>43657</v>
      </c>
      <c r="B128" s="5">
        <v>13.83</v>
      </c>
      <c r="C128" s="5">
        <v>13.93</v>
      </c>
      <c r="D128" s="5">
        <v>13.68</v>
      </c>
      <c r="E128" s="5">
        <v>13.69</v>
      </c>
      <c r="F128" s="6">
        <v>48418312</v>
      </c>
      <c r="G128" s="5">
        <f t="shared" si="8"/>
        <v>13.766666666666666</v>
      </c>
      <c r="H128" s="6">
        <f t="shared" si="9"/>
        <v>666558761.86666667</v>
      </c>
      <c r="I128" s="6">
        <f t="shared" si="10"/>
        <v>666558761.86666667</v>
      </c>
      <c r="J128" s="6">
        <f t="shared" si="11"/>
        <v>0</v>
      </c>
      <c r="K128" s="6">
        <f t="shared" si="12"/>
        <v>8510251301.2266665</v>
      </c>
      <c r="L128" s="6">
        <f t="shared" si="13"/>
        <v>5862271811.4800005</v>
      </c>
      <c r="M128" s="5">
        <f t="shared" si="14"/>
        <v>1.4516985180661817</v>
      </c>
      <c r="N128" s="5">
        <f t="shared" si="15"/>
        <v>59.21195070963428</v>
      </c>
    </row>
    <row r="129" spans="1:14" x14ac:dyDescent="0.25">
      <c r="A129" s="7">
        <v>43658</v>
      </c>
      <c r="B129" s="5">
        <v>13.75</v>
      </c>
      <c r="C129" s="5">
        <v>14.38</v>
      </c>
      <c r="D129" s="5">
        <v>13.73</v>
      </c>
      <c r="E129" s="5">
        <v>14.27</v>
      </c>
      <c r="F129" s="6">
        <v>146536656</v>
      </c>
      <c r="G129" s="5">
        <f t="shared" si="8"/>
        <v>14.126666666666665</v>
      </c>
      <c r="H129" s="6">
        <f t="shared" si="9"/>
        <v>2070074493.7599998</v>
      </c>
      <c r="I129" s="6">
        <f t="shared" si="10"/>
        <v>2070074493.7599998</v>
      </c>
      <c r="J129" s="6">
        <f t="shared" si="11"/>
        <v>0</v>
      </c>
      <c r="K129" s="6">
        <f t="shared" si="12"/>
        <v>9676051431.3466663</v>
      </c>
      <c r="L129" s="6">
        <f t="shared" si="13"/>
        <v>5862271811.4800005</v>
      </c>
      <c r="M129" s="5">
        <f t="shared" si="14"/>
        <v>1.6505634236198665</v>
      </c>
      <c r="N129" s="5">
        <f t="shared" si="15"/>
        <v>62.272172358196087</v>
      </c>
    </row>
    <row r="130" spans="1:14" x14ac:dyDescent="0.25">
      <c r="A130" s="7">
        <v>43661</v>
      </c>
      <c r="B130" s="5">
        <v>14.18</v>
      </c>
      <c r="C130" s="5">
        <v>14.27</v>
      </c>
      <c r="D130" s="5">
        <v>13.99</v>
      </c>
      <c r="E130" s="5">
        <v>14.15</v>
      </c>
      <c r="F130" s="6">
        <v>84128272</v>
      </c>
      <c r="G130" s="5">
        <f t="shared" ref="G130:G193" si="16">(C130 + D130 + E130)/3</f>
        <v>14.136666666666665</v>
      </c>
      <c r="H130" s="6">
        <f t="shared" ref="H130:H193" si="17">G130*F130</f>
        <v>1189293338.5066664</v>
      </c>
      <c r="I130" s="6">
        <f t="shared" si="10"/>
        <v>1189293338.5066664</v>
      </c>
      <c r="J130" s="6">
        <f t="shared" si="11"/>
        <v>0</v>
      </c>
      <c r="K130" s="6">
        <f t="shared" si="12"/>
        <v>10865344769.853333</v>
      </c>
      <c r="L130" s="6">
        <f t="shared" si="13"/>
        <v>3892528093.1866665</v>
      </c>
      <c r="M130" s="5">
        <f t="shared" si="14"/>
        <v>2.7913336807694771</v>
      </c>
      <c r="N130" s="5">
        <f t="shared" si="15"/>
        <v>73.624057279045843</v>
      </c>
    </row>
    <row r="131" spans="1:14" x14ac:dyDescent="0.25">
      <c r="A131" s="7">
        <v>43662</v>
      </c>
      <c r="B131" s="5">
        <v>14.12</v>
      </c>
      <c r="C131" s="5">
        <v>14.14</v>
      </c>
      <c r="D131" s="5">
        <v>13.86</v>
      </c>
      <c r="E131" s="5">
        <v>13.9</v>
      </c>
      <c r="F131" s="6">
        <v>72278080</v>
      </c>
      <c r="G131" s="5">
        <f t="shared" si="16"/>
        <v>13.966666666666667</v>
      </c>
      <c r="H131" s="6">
        <f t="shared" si="17"/>
        <v>1009483850.6666666</v>
      </c>
      <c r="I131" s="6">
        <f t="shared" ref="I131:I194" si="18">IF(G131&gt;G130,H131,0)</f>
        <v>0</v>
      </c>
      <c r="J131" s="6">
        <f t="shared" ref="J131:J194" si="19">IF(G131&lt;G130,H131,0)</f>
        <v>1009483850.6666666</v>
      </c>
      <c r="K131" s="6">
        <f t="shared" si="12"/>
        <v>10127381175.599998</v>
      </c>
      <c r="L131" s="6">
        <f t="shared" si="13"/>
        <v>4902011943.8533335</v>
      </c>
      <c r="M131" s="5">
        <f t="shared" si="14"/>
        <v>2.0659641982918444</v>
      </c>
      <c r="N131" s="5">
        <f t="shared" si="15"/>
        <v>67.383833100297295</v>
      </c>
    </row>
    <row r="132" spans="1:14" x14ac:dyDescent="0.25">
      <c r="A132" s="7">
        <v>43663</v>
      </c>
      <c r="B132" s="5">
        <v>13.85</v>
      </c>
      <c r="C132" s="5">
        <v>13.96</v>
      </c>
      <c r="D132" s="5">
        <v>13.76</v>
      </c>
      <c r="E132" s="5">
        <v>13.84</v>
      </c>
      <c r="F132" s="6">
        <v>41002064</v>
      </c>
      <c r="G132" s="5">
        <f t="shared" si="16"/>
        <v>13.853333333333333</v>
      </c>
      <c r="H132" s="6">
        <f t="shared" si="17"/>
        <v>568015259.94666672</v>
      </c>
      <c r="I132" s="6">
        <f t="shared" si="18"/>
        <v>0</v>
      </c>
      <c r="J132" s="6">
        <f t="shared" si="19"/>
        <v>568015259.94666672</v>
      </c>
      <c r="K132" s="6">
        <f t="shared" si="12"/>
        <v>8848927580.8799992</v>
      </c>
      <c r="L132" s="6">
        <f t="shared" si="13"/>
        <v>5470027203.8000002</v>
      </c>
      <c r="M132" s="5">
        <f t="shared" si="14"/>
        <v>1.6177118049308226</v>
      </c>
      <c r="N132" s="5">
        <f t="shared" si="15"/>
        <v>61.798697697876378</v>
      </c>
    </row>
    <row r="133" spans="1:14" x14ac:dyDescent="0.25">
      <c r="A133" s="7">
        <v>43664</v>
      </c>
      <c r="B133" s="5">
        <v>13.8</v>
      </c>
      <c r="C133" s="5">
        <v>13.96</v>
      </c>
      <c r="D133" s="5">
        <v>13.71</v>
      </c>
      <c r="E133" s="5">
        <v>13.82</v>
      </c>
      <c r="F133" s="6">
        <v>42282624</v>
      </c>
      <c r="G133" s="5">
        <f t="shared" si="16"/>
        <v>13.83</v>
      </c>
      <c r="H133" s="6">
        <f t="shared" si="17"/>
        <v>584768689.91999996</v>
      </c>
      <c r="I133" s="6">
        <f t="shared" si="18"/>
        <v>0</v>
      </c>
      <c r="J133" s="6">
        <f t="shared" si="19"/>
        <v>584768689.91999996</v>
      </c>
      <c r="K133" s="6">
        <f t="shared" si="12"/>
        <v>8158237677.9466667</v>
      </c>
      <c r="L133" s="6">
        <f t="shared" si="13"/>
        <v>6054795893.7200003</v>
      </c>
      <c r="M133" s="5">
        <f t="shared" si="14"/>
        <v>1.3474009398745124</v>
      </c>
      <c r="N133" s="5">
        <f t="shared" si="15"/>
        <v>57.39969329425854</v>
      </c>
    </row>
    <row r="134" spans="1:14" x14ac:dyDescent="0.25">
      <c r="A134" s="7">
        <v>43665</v>
      </c>
      <c r="B134" s="5">
        <v>13.89</v>
      </c>
      <c r="C134" s="5">
        <v>14.23</v>
      </c>
      <c r="D134" s="5">
        <v>13.83</v>
      </c>
      <c r="E134" s="5">
        <v>14.14</v>
      </c>
      <c r="F134" s="6">
        <v>86639072</v>
      </c>
      <c r="G134" s="5">
        <f t="shared" si="16"/>
        <v>14.066666666666668</v>
      </c>
      <c r="H134" s="6">
        <f t="shared" si="17"/>
        <v>1218722946.1333334</v>
      </c>
      <c r="I134" s="6">
        <f t="shared" si="18"/>
        <v>1218722946.1333334</v>
      </c>
      <c r="J134" s="6">
        <f t="shared" si="19"/>
        <v>0</v>
      </c>
      <c r="K134" s="6">
        <f t="shared" si="12"/>
        <v>8018301108.0799999</v>
      </c>
      <c r="L134" s="6">
        <f t="shared" si="13"/>
        <v>6054795893.7200003</v>
      </c>
      <c r="M134" s="5">
        <f t="shared" si="14"/>
        <v>1.3242892491878275</v>
      </c>
      <c r="N134" s="5">
        <f t="shared" si="15"/>
        <v>56.976094935282759</v>
      </c>
    </row>
    <row r="135" spans="1:14" x14ac:dyDescent="0.25">
      <c r="A135" s="7">
        <v>43668</v>
      </c>
      <c r="B135" s="5">
        <v>14.11</v>
      </c>
      <c r="C135" s="5">
        <v>14.17</v>
      </c>
      <c r="D135" s="5">
        <v>13.91</v>
      </c>
      <c r="E135" s="5">
        <v>14</v>
      </c>
      <c r="F135" s="6">
        <v>58228328</v>
      </c>
      <c r="G135" s="5">
        <f t="shared" si="16"/>
        <v>14.026666666666666</v>
      </c>
      <c r="H135" s="6">
        <f t="shared" si="17"/>
        <v>816749347.4133333</v>
      </c>
      <c r="I135" s="6">
        <f t="shared" si="18"/>
        <v>0</v>
      </c>
      <c r="J135" s="6">
        <f t="shared" si="19"/>
        <v>816749347.4133333</v>
      </c>
      <c r="K135" s="6">
        <f t="shared" si="12"/>
        <v>6518841484</v>
      </c>
      <c r="L135" s="6">
        <f t="shared" si="13"/>
        <v>6871545241.1333332</v>
      </c>
      <c r="M135" s="5">
        <f t="shared" si="14"/>
        <v>0.94867184239404623</v>
      </c>
      <c r="N135" s="5">
        <f t="shared" si="15"/>
        <v>48.682996375036275</v>
      </c>
    </row>
    <row r="136" spans="1:14" x14ac:dyDescent="0.25">
      <c r="A136" s="7">
        <v>43669</v>
      </c>
      <c r="B136" s="5">
        <v>14.01</v>
      </c>
      <c r="C136" s="5">
        <v>14.02</v>
      </c>
      <c r="D136" s="5">
        <v>13.8</v>
      </c>
      <c r="E136" s="5">
        <v>13.91</v>
      </c>
      <c r="F136" s="6">
        <v>50400424</v>
      </c>
      <c r="G136" s="5">
        <f t="shared" si="16"/>
        <v>13.910000000000002</v>
      </c>
      <c r="H136" s="6">
        <f t="shared" si="17"/>
        <v>701069897.84000015</v>
      </c>
      <c r="I136" s="6">
        <f t="shared" si="18"/>
        <v>0</v>
      </c>
      <c r="J136" s="6">
        <f t="shared" si="19"/>
        <v>701069897.84000015</v>
      </c>
      <c r="K136" s="6">
        <f t="shared" si="12"/>
        <v>6518841484</v>
      </c>
      <c r="L136" s="6">
        <f t="shared" si="13"/>
        <v>6482061854.333333</v>
      </c>
      <c r="M136" s="5">
        <f t="shared" si="14"/>
        <v>1.0056740633602685</v>
      </c>
      <c r="N136" s="5">
        <f t="shared" si="15"/>
        <v>50.141450285066817</v>
      </c>
    </row>
    <row r="137" spans="1:14" x14ac:dyDescent="0.25">
      <c r="A137" s="7">
        <v>43670</v>
      </c>
      <c r="B137" s="5">
        <v>14.02</v>
      </c>
      <c r="C137" s="5">
        <v>14.16</v>
      </c>
      <c r="D137" s="5">
        <v>13.94</v>
      </c>
      <c r="E137" s="5">
        <v>14.03</v>
      </c>
      <c r="F137" s="6">
        <v>57027624</v>
      </c>
      <c r="G137" s="5">
        <f t="shared" si="16"/>
        <v>14.043333333333335</v>
      </c>
      <c r="H137" s="6">
        <f t="shared" si="17"/>
        <v>800857933.04000008</v>
      </c>
      <c r="I137" s="6">
        <f t="shared" si="18"/>
        <v>800857933.04000008</v>
      </c>
      <c r="J137" s="6">
        <f t="shared" si="19"/>
        <v>0</v>
      </c>
      <c r="K137" s="6">
        <f t="shared" si="12"/>
        <v>6437464038.6399994</v>
      </c>
      <c r="L137" s="6">
        <f t="shared" si="13"/>
        <v>6482061854.333333</v>
      </c>
      <c r="M137" s="5">
        <f t="shared" si="14"/>
        <v>0.99311981022465567</v>
      </c>
      <c r="N137" s="5">
        <f t="shared" si="15"/>
        <v>49.827401500400299</v>
      </c>
    </row>
    <row r="138" spans="1:14" x14ac:dyDescent="0.25">
      <c r="A138" s="7">
        <v>43671</v>
      </c>
      <c r="B138" s="5">
        <v>14.07</v>
      </c>
      <c r="C138" s="5">
        <v>14.42</v>
      </c>
      <c r="D138" s="5">
        <v>14</v>
      </c>
      <c r="E138" s="5">
        <v>14.35</v>
      </c>
      <c r="F138" s="6">
        <v>108782640</v>
      </c>
      <c r="G138" s="5">
        <f t="shared" si="16"/>
        <v>14.256666666666668</v>
      </c>
      <c r="H138" s="6">
        <f t="shared" si="17"/>
        <v>1550877837.6000001</v>
      </c>
      <c r="I138" s="6">
        <f t="shared" si="18"/>
        <v>1550877837.6000001</v>
      </c>
      <c r="J138" s="6">
        <f t="shared" si="19"/>
        <v>0</v>
      </c>
      <c r="K138" s="6">
        <f t="shared" si="12"/>
        <v>7988341876.2399998</v>
      </c>
      <c r="L138" s="6">
        <f t="shared" si="13"/>
        <v>5432188414.2266665</v>
      </c>
      <c r="M138" s="5">
        <f t="shared" si="14"/>
        <v>1.4705568487497374</v>
      </c>
      <c r="N138" s="5">
        <f t="shared" si="15"/>
        <v>59.523295304616646</v>
      </c>
    </row>
    <row r="139" spans="1:14" x14ac:dyDescent="0.25">
      <c r="A139" s="7">
        <v>43672</v>
      </c>
      <c r="B139" s="5">
        <v>14.33</v>
      </c>
      <c r="C139" s="5">
        <v>14.4</v>
      </c>
      <c r="D139" s="5">
        <v>14.23</v>
      </c>
      <c r="E139" s="5">
        <v>14.38</v>
      </c>
      <c r="F139" s="6">
        <v>63530572</v>
      </c>
      <c r="G139" s="5">
        <f t="shared" si="16"/>
        <v>14.336666666666668</v>
      </c>
      <c r="H139" s="6">
        <f t="shared" si="17"/>
        <v>910816633.90666676</v>
      </c>
      <c r="I139" s="6">
        <f t="shared" si="18"/>
        <v>910816633.90666676</v>
      </c>
      <c r="J139" s="6">
        <f t="shared" si="19"/>
        <v>0</v>
      </c>
      <c r="K139" s="6">
        <f t="shared" si="12"/>
        <v>8899158510.1466675</v>
      </c>
      <c r="L139" s="6">
        <f t="shared" si="13"/>
        <v>4358755618.5466671</v>
      </c>
      <c r="M139" s="5">
        <f t="shared" si="14"/>
        <v>2.0416741127399796</v>
      </c>
      <c r="N139" s="5">
        <f t="shared" si="15"/>
        <v>67.123368154020056</v>
      </c>
    </row>
    <row r="140" spans="1:14" x14ac:dyDescent="0.25">
      <c r="A140" s="7">
        <v>43675</v>
      </c>
      <c r="B140" s="5">
        <v>14.4</v>
      </c>
      <c r="C140" s="5">
        <v>14.6</v>
      </c>
      <c r="D140" s="5">
        <v>14.33</v>
      </c>
      <c r="E140" s="5">
        <v>14.44</v>
      </c>
      <c r="F140" s="6">
        <v>71557616</v>
      </c>
      <c r="G140" s="5">
        <f t="shared" si="16"/>
        <v>14.456666666666665</v>
      </c>
      <c r="H140" s="6">
        <f t="shared" si="17"/>
        <v>1034484601.9733332</v>
      </c>
      <c r="I140" s="6">
        <f t="shared" si="18"/>
        <v>1034484601.9733332</v>
      </c>
      <c r="J140" s="6">
        <f t="shared" si="19"/>
        <v>0</v>
      </c>
      <c r="K140" s="6">
        <f t="shared" si="12"/>
        <v>9933643112.1200008</v>
      </c>
      <c r="L140" s="6">
        <f t="shared" si="13"/>
        <v>3680087045.7866669</v>
      </c>
      <c r="M140" s="5">
        <f t="shared" si="14"/>
        <v>2.699295692881241</v>
      </c>
      <c r="N140" s="5">
        <f t="shared" si="15"/>
        <v>72.96782731036194</v>
      </c>
    </row>
    <row r="141" spans="1:14" x14ac:dyDescent="0.25">
      <c r="A141" s="7">
        <v>43676</v>
      </c>
      <c r="B141" s="5">
        <v>14.46</v>
      </c>
      <c r="C141" s="5">
        <v>14.7</v>
      </c>
      <c r="D141" s="5">
        <v>14.44</v>
      </c>
      <c r="E141" s="5">
        <v>14.52</v>
      </c>
      <c r="F141" s="6">
        <v>79663432</v>
      </c>
      <c r="G141" s="5">
        <f t="shared" si="16"/>
        <v>14.553333333333333</v>
      </c>
      <c r="H141" s="6">
        <f t="shared" si="17"/>
        <v>1159368480.3733332</v>
      </c>
      <c r="I141" s="6">
        <f t="shared" si="18"/>
        <v>1159368480.3733332</v>
      </c>
      <c r="J141" s="6">
        <f t="shared" si="19"/>
        <v>0</v>
      </c>
      <c r="K141" s="6">
        <f t="shared" si="12"/>
        <v>10601055027.16</v>
      </c>
      <c r="L141" s="6">
        <f t="shared" si="13"/>
        <v>3680087045.7866669</v>
      </c>
      <c r="M141" s="5">
        <f t="shared" si="14"/>
        <v>2.8806533365283173</v>
      </c>
      <c r="N141" s="5">
        <f t="shared" si="15"/>
        <v>74.231143230778429</v>
      </c>
    </row>
    <row r="142" spans="1:14" x14ac:dyDescent="0.25">
      <c r="A142" s="7">
        <v>43677</v>
      </c>
      <c r="B142" s="5">
        <v>14.45</v>
      </c>
      <c r="C142" s="5">
        <v>14.47</v>
      </c>
      <c r="D142" s="5">
        <v>14.23</v>
      </c>
      <c r="E142" s="5">
        <v>14.28</v>
      </c>
      <c r="F142" s="6">
        <v>63472348</v>
      </c>
      <c r="G142" s="5">
        <f t="shared" si="16"/>
        <v>14.326666666666668</v>
      </c>
      <c r="H142" s="6">
        <f t="shared" si="17"/>
        <v>909347172.34666669</v>
      </c>
      <c r="I142" s="6">
        <f t="shared" si="18"/>
        <v>0</v>
      </c>
      <c r="J142" s="6">
        <f t="shared" si="19"/>
        <v>909347172.34666669</v>
      </c>
      <c r="K142" s="6">
        <f t="shared" si="12"/>
        <v>9934496265.2933331</v>
      </c>
      <c r="L142" s="6">
        <f t="shared" si="13"/>
        <v>4589434218.1333332</v>
      </c>
      <c r="M142" s="5">
        <f t="shared" si="14"/>
        <v>2.1646450941689288</v>
      </c>
      <c r="N142" s="5">
        <f t="shared" si="15"/>
        <v>68.400880027824698</v>
      </c>
    </row>
    <row r="143" spans="1:14" x14ac:dyDescent="0.25">
      <c r="A143" s="7">
        <v>43678</v>
      </c>
      <c r="B143" s="5">
        <v>14.21</v>
      </c>
      <c r="C143" s="5">
        <v>14.34</v>
      </c>
      <c r="D143" s="5">
        <v>14.09</v>
      </c>
      <c r="E143" s="5">
        <v>14.25</v>
      </c>
      <c r="F143" s="6">
        <v>52798128</v>
      </c>
      <c r="G143" s="5">
        <f t="shared" si="16"/>
        <v>14.226666666666667</v>
      </c>
      <c r="H143" s="6">
        <f t="shared" si="17"/>
        <v>751141367.67999995</v>
      </c>
      <c r="I143" s="6">
        <f t="shared" si="18"/>
        <v>0</v>
      </c>
      <c r="J143" s="6">
        <f t="shared" si="19"/>
        <v>751141367.67999995</v>
      </c>
      <c r="K143" s="6">
        <f t="shared" ref="K143:K206" si="20">SUM(I130:I143)</f>
        <v>7864421771.5333328</v>
      </c>
      <c r="L143" s="6">
        <f t="shared" ref="L143:L206" si="21">SUM(J130:J143)</f>
        <v>5340575585.8133335</v>
      </c>
      <c r="M143" s="5">
        <f t="shared" ref="M143:M206" si="22">K143/L143</f>
        <v>1.4725794336521192</v>
      </c>
      <c r="N143" s="5">
        <f t="shared" ref="N143:N206" si="23">100-(100/(1+M143))</f>
        <v>59.556405493393925</v>
      </c>
    </row>
    <row r="144" spans="1:14" x14ac:dyDescent="0.25">
      <c r="A144" s="7">
        <v>43679</v>
      </c>
      <c r="B144" s="5">
        <v>13.92</v>
      </c>
      <c r="C144" s="5">
        <v>14.03</v>
      </c>
      <c r="D144" s="5">
        <v>13.81</v>
      </c>
      <c r="E144" s="5">
        <v>13.89</v>
      </c>
      <c r="F144" s="6">
        <v>96992648</v>
      </c>
      <c r="G144" s="5">
        <f t="shared" si="16"/>
        <v>13.910000000000002</v>
      </c>
      <c r="H144" s="6">
        <f t="shared" si="17"/>
        <v>1349167733.6800003</v>
      </c>
      <c r="I144" s="6">
        <f t="shared" si="18"/>
        <v>0</v>
      </c>
      <c r="J144" s="6">
        <f t="shared" si="19"/>
        <v>1349167733.6800003</v>
      </c>
      <c r="K144" s="6">
        <f t="shared" si="20"/>
        <v>6675128433.0266666</v>
      </c>
      <c r="L144" s="6">
        <f t="shared" si="21"/>
        <v>6689743319.4933338</v>
      </c>
      <c r="M144" s="5">
        <f t="shared" si="22"/>
        <v>0.99781532926321992</v>
      </c>
      <c r="N144" s="5">
        <f t="shared" si="23"/>
        <v>49.945323506512842</v>
      </c>
    </row>
    <row r="145" spans="1:14" x14ac:dyDescent="0.25">
      <c r="A145" s="7">
        <v>43682</v>
      </c>
      <c r="B145" s="5">
        <v>13.75</v>
      </c>
      <c r="C145" s="5">
        <v>13.79</v>
      </c>
      <c r="D145" s="5">
        <v>13.42</v>
      </c>
      <c r="E145" s="5">
        <v>13.5</v>
      </c>
      <c r="F145" s="6">
        <v>89308240</v>
      </c>
      <c r="G145" s="5">
        <f t="shared" si="16"/>
        <v>13.57</v>
      </c>
      <c r="H145" s="6">
        <f t="shared" si="17"/>
        <v>1211912816.8</v>
      </c>
      <c r="I145" s="6">
        <f t="shared" si="18"/>
        <v>0</v>
      </c>
      <c r="J145" s="6">
        <f t="shared" si="19"/>
        <v>1211912816.8</v>
      </c>
      <c r="K145" s="6">
        <f t="shared" si="20"/>
        <v>6675128433.0266666</v>
      </c>
      <c r="L145" s="6">
        <f t="shared" si="21"/>
        <v>6892172285.626668</v>
      </c>
      <c r="M145" s="5">
        <f t="shared" si="22"/>
        <v>0.96850864377655832</v>
      </c>
      <c r="N145" s="5">
        <f t="shared" si="23"/>
        <v>49.200121464464942</v>
      </c>
    </row>
    <row r="146" spans="1:14" x14ac:dyDescent="0.25">
      <c r="A146" s="7">
        <v>43683</v>
      </c>
      <c r="B146" s="5">
        <v>13.25</v>
      </c>
      <c r="C146" s="5">
        <v>13.61</v>
      </c>
      <c r="D146" s="5">
        <v>13.18</v>
      </c>
      <c r="E146" s="5">
        <v>13.52</v>
      </c>
      <c r="F146" s="6">
        <v>88249912</v>
      </c>
      <c r="G146" s="5">
        <f t="shared" si="16"/>
        <v>13.436666666666667</v>
      </c>
      <c r="H146" s="6">
        <f t="shared" si="17"/>
        <v>1185784650.9066668</v>
      </c>
      <c r="I146" s="6">
        <f t="shared" si="18"/>
        <v>0</v>
      </c>
      <c r="J146" s="6">
        <f t="shared" si="19"/>
        <v>1185784650.9066668</v>
      </c>
      <c r="K146" s="6">
        <f t="shared" si="20"/>
        <v>6675128433.0266666</v>
      </c>
      <c r="L146" s="6">
        <f t="shared" si="21"/>
        <v>7509941676.5866671</v>
      </c>
      <c r="M146" s="5">
        <f t="shared" si="22"/>
        <v>0.88883891786235147</v>
      </c>
      <c r="N146" s="5">
        <f t="shared" si="23"/>
        <v>47.05742292033424</v>
      </c>
    </row>
    <row r="147" spans="1:14" x14ac:dyDescent="0.25">
      <c r="A147" s="7">
        <v>43684</v>
      </c>
      <c r="B147" s="5">
        <v>13.64</v>
      </c>
      <c r="C147" s="5">
        <v>13.79</v>
      </c>
      <c r="D147" s="5">
        <v>13.52</v>
      </c>
      <c r="E147" s="5">
        <v>13.69</v>
      </c>
      <c r="F147" s="6">
        <v>79303896</v>
      </c>
      <c r="G147" s="5">
        <f t="shared" si="16"/>
        <v>13.666666666666666</v>
      </c>
      <c r="H147" s="6">
        <f t="shared" si="17"/>
        <v>1083819912</v>
      </c>
      <c r="I147" s="6">
        <f t="shared" si="18"/>
        <v>1083819912</v>
      </c>
      <c r="J147" s="6">
        <f t="shared" si="19"/>
        <v>0</v>
      </c>
      <c r="K147" s="6">
        <f t="shared" si="20"/>
        <v>7758948345.0266666</v>
      </c>
      <c r="L147" s="6">
        <f t="shared" si="21"/>
        <v>6925172986.6666679</v>
      </c>
      <c r="M147" s="5">
        <f t="shared" si="22"/>
        <v>1.1203977662312987</v>
      </c>
      <c r="N147" s="5">
        <f t="shared" si="23"/>
        <v>52.839037282266339</v>
      </c>
    </row>
    <row r="148" spans="1:14" x14ac:dyDescent="0.25">
      <c r="A148" s="7">
        <v>43685</v>
      </c>
      <c r="B148" s="5">
        <v>14.05</v>
      </c>
      <c r="C148" s="5">
        <v>14.65</v>
      </c>
      <c r="D148" s="5">
        <v>14</v>
      </c>
      <c r="E148" s="5">
        <v>14.53</v>
      </c>
      <c r="F148" s="6">
        <v>233071504</v>
      </c>
      <c r="G148" s="5">
        <f t="shared" si="16"/>
        <v>14.393333333333333</v>
      </c>
      <c r="H148" s="6">
        <f t="shared" si="17"/>
        <v>3354675847.5733333</v>
      </c>
      <c r="I148" s="6">
        <f t="shared" si="18"/>
        <v>3354675847.5733333</v>
      </c>
      <c r="J148" s="6">
        <f t="shared" si="19"/>
        <v>0</v>
      </c>
      <c r="K148" s="6">
        <f t="shared" si="20"/>
        <v>9894901246.4666672</v>
      </c>
      <c r="L148" s="6">
        <f t="shared" si="21"/>
        <v>6925172986.6666679</v>
      </c>
      <c r="M148" s="5">
        <f t="shared" si="22"/>
        <v>1.4288309137573523</v>
      </c>
      <c r="N148" s="5">
        <f t="shared" si="23"/>
        <v>58.827928517550845</v>
      </c>
    </row>
    <row r="149" spans="1:14" x14ac:dyDescent="0.25">
      <c r="A149" s="7">
        <v>43686</v>
      </c>
      <c r="B149" s="5">
        <v>14.7</v>
      </c>
      <c r="C149" s="5">
        <v>15</v>
      </c>
      <c r="D149" s="5">
        <v>14.58</v>
      </c>
      <c r="E149" s="5">
        <v>14.67</v>
      </c>
      <c r="F149" s="6">
        <v>206057520</v>
      </c>
      <c r="G149" s="5">
        <f t="shared" si="16"/>
        <v>14.75</v>
      </c>
      <c r="H149" s="6">
        <f t="shared" si="17"/>
        <v>3039348420</v>
      </c>
      <c r="I149" s="6">
        <f t="shared" si="18"/>
        <v>3039348420</v>
      </c>
      <c r="J149" s="6">
        <f t="shared" si="19"/>
        <v>0</v>
      </c>
      <c r="K149" s="6">
        <f t="shared" si="20"/>
        <v>12934249666.466667</v>
      </c>
      <c r="L149" s="6">
        <f t="shared" si="21"/>
        <v>6108423639.253334</v>
      </c>
      <c r="M149" s="5">
        <f t="shared" si="22"/>
        <v>2.1174447664942391</v>
      </c>
      <c r="N149" s="5">
        <f t="shared" si="23"/>
        <v>67.922446910757543</v>
      </c>
    </row>
    <row r="150" spans="1:14" x14ac:dyDescent="0.25">
      <c r="A150" s="7">
        <v>43689</v>
      </c>
      <c r="B150" s="5">
        <v>14.76</v>
      </c>
      <c r="C150" s="5">
        <v>15.27</v>
      </c>
      <c r="D150" s="5">
        <v>14.75</v>
      </c>
      <c r="E150" s="5">
        <v>15.27</v>
      </c>
      <c r="F150" s="6">
        <v>273342560</v>
      </c>
      <c r="G150" s="5">
        <f t="shared" si="16"/>
        <v>15.096666666666666</v>
      </c>
      <c r="H150" s="6">
        <f t="shared" si="17"/>
        <v>4126561514.1333332</v>
      </c>
      <c r="I150" s="6">
        <f t="shared" si="18"/>
        <v>4126561514.1333332</v>
      </c>
      <c r="J150" s="6">
        <f t="shared" si="19"/>
        <v>0</v>
      </c>
      <c r="K150" s="6">
        <f t="shared" si="20"/>
        <v>17060811180.6</v>
      </c>
      <c r="L150" s="6">
        <f t="shared" si="21"/>
        <v>5407353741.4133339</v>
      </c>
      <c r="M150" s="5">
        <f t="shared" si="22"/>
        <v>3.1551128327219025</v>
      </c>
      <c r="N150" s="5">
        <f t="shared" si="23"/>
        <v>75.933264865278602</v>
      </c>
    </row>
    <row r="151" spans="1:14" x14ac:dyDescent="0.25">
      <c r="A151" s="7">
        <v>43690</v>
      </c>
      <c r="B151" s="5">
        <v>15.15</v>
      </c>
      <c r="C151" s="5">
        <v>15.23</v>
      </c>
      <c r="D151" s="5">
        <v>14.89</v>
      </c>
      <c r="E151" s="5">
        <v>15.04</v>
      </c>
      <c r="F151" s="6">
        <v>129373648</v>
      </c>
      <c r="G151" s="5">
        <f t="shared" si="16"/>
        <v>15.053333333333333</v>
      </c>
      <c r="H151" s="6">
        <f t="shared" si="17"/>
        <v>1947504647.8933332</v>
      </c>
      <c r="I151" s="6">
        <f t="shared" si="18"/>
        <v>0</v>
      </c>
      <c r="J151" s="6">
        <f t="shared" si="19"/>
        <v>1947504647.8933332</v>
      </c>
      <c r="K151" s="6">
        <f t="shared" si="20"/>
        <v>16259953247.559999</v>
      </c>
      <c r="L151" s="6">
        <f t="shared" si="21"/>
        <v>7354858389.3066673</v>
      </c>
      <c r="M151" s="5">
        <f t="shared" si="22"/>
        <v>2.2107772015298859</v>
      </c>
      <c r="N151" s="5">
        <f t="shared" si="23"/>
        <v>68.854892842657677</v>
      </c>
    </row>
    <row r="152" spans="1:14" x14ac:dyDescent="0.25">
      <c r="A152" s="7">
        <v>43691</v>
      </c>
      <c r="B152" s="5">
        <v>15.29</v>
      </c>
      <c r="C152" s="5">
        <v>15.37</v>
      </c>
      <c r="D152" s="5">
        <v>14.95</v>
      </c>
      <c r="E152" s="5">
        <v>15.12</v>
      </c>
      <c r="F152" s="6">
        <v>136054656</v>
      </c>
      <c r="G152" s="5">
        <f t="shared" si="16"/>
        <v>15.146666666666667</v>
      </c>
      <c r="H152" s="6">
        <f t="shared" si="17"/>
        <v>2060774522.8799999</v>
      </c>
      <c r="I152" s="6">
        <f t="shared" si="18"/>
        <v>2060774522.8799999</v>
      </c>
      <c r="J152" s="6">
        <f t="shared" si="19"/>
        <v>0</v>
      </c>
      <c r="K152" s="6">
        <f t="shared" si="20"/>
        <v>16769849932.839998</v>
      </c>
      <c r="L152" s="6">
        <f t="shared" si="21"/>
        <v>7354858389.3066673</v>
      </c>
      <c r="M152" s="5">
        <f t="shared" si="22"/>
        <v>2.280105074112905</v>
      </c>
      <c r="N152" s="5">
        <f t="shared" si="23"/>
        <v>69.513171761107458</v>
      </c>
    </row>
    <row r="153" spans="1:14" x14ac:dyDescent="0.25">
      <c r="A153" s="7">
        <v>43692</v>
      </c>
      <c r="B153" s="5">
        <v>14.79</v>
      </c>
      <c r="C153" s="5">
        <v>15.11</v>
      </c>
      <c r="D153" s="5">
        <v>14.75</v>
      </c>
      <c r="E153" s="5">
        <v>15.09</v>
      </c>
      <c r="F153" s="6">
        <v>89737624</v>
      </c>
      <c r="G153" s="5">
        <f t="shared" si="16"/>
        <v>14.983333333333334</v>
      </c>
      <c r="H153" s="6">
        <f t="shared" si="17"/>
        <v>1344568732.9333334</v>
      </c>
      <c r="I153" s="6">
        <f t="shared" si="18"/>
        <v>0</v>
      </c>
      <c r="J153" s="6">
        <f t="shared" si="19"/>
        <v>1344568732.9333334</v>
      </c>
      <c r="K153" s="6">
        <f t="shared" si="20"/>
        <v>15859033298.933332</v>
      </c>
      <c r="L153" s="6">
        <f t="shared" si="21"/>
        <v>8699427122.2400017</v>
      </c>
      <c r="M153" s="5">
        <f t="shared" si="22"/>
        <v>1.8229974314503845</v>
      </c>
      <c r="N153" s="5">
        <f t="shared" si="23"/>
        <v>64.576659232515652</v>
      </c>
    </row>
    <row r="154" spans="1:14" x14ac:dyDescent="0.25">
      <c r="A154" s="7">
        <v>43693</v>
      </c>
      <c r="B154" s="5">
        <v>15.24</v>
      </c>
      <c r="C154" s="5">
        <v>15.29</v>
      </c>
      <c r="D154" s="5">
        <v>14.93</v>
      </c>
      <c r="E154" s="5">
        <v>15.05</v>
      </c>
      <c r="F154" s="6">
        <v>98690296</v>
      </c>
      <c r="G154" s="5">
        <f t="shared" si="16"/>
        <v>15.089999999999998</v>
      </c>
      <c r="H154" s="6">
        <f t="shared" si="17"/>
        <v>1489236566.6399999</v>
      </c>
      <c r="I154" s="6">
        <f t="shared" si="18"/>
        <v>1489236566.6399999</v>
      </c>
      <c r="J154" s="6">
        <f t="shared" si="19"/>
        <v>0</v>
      </c>
      <c r="K154" s="6">
        <f t="shared" si="20"/>
        <v>16313785263.599998</v>
      </c>
      <c r="L154" s="6">
        <f t="shared" si="21"/>
        <v>8699427122.2400017</v>
      </c>
      <c r="M154" s="5">
        <f t="shared" si="22"/>
        <v>1.875271214341685</v>
      </c>
      <c r="N154" s="5">
        <f t="shared" si="23"/>
        <v>65.220672226951734</v>
      </c>
    </row>
    <row r="155" spans="1:14" x14ac:dyDescent="0.25">
      <c r="A155" s="7">
        <v>43696</v>
      </c>
      <c r="B155" s="5">
        <v>15.06</v>
      </c>
      <c r="C155" s="5">
        <v>15.09</v>
      </c>
      <c r="D155" s="5">
        <v>14.67</v>
      </c>
      <c r="E155" s="5">
        <v>15.07</v>
      </c>
      <c r="F155" s="6">
        <v>229295616</v>
      </c>
      <c r="G155" s="5">
        <f t="shared" si="16"/>
        <v>14.943333333333333</v>
      </c>
      <c r="H155" s="6">
        <f t="shared" si="17"/>
        <v>3426440821.7600002</v>
      </c>
      <c r="I155" s="6">
        <f t="shared" si="18"/>
        <v>0</v>
      </c>
      <c r="J155" s="6">
        <f t="shared" si="19"/>
        <v>3426440821.7600002</v>
      </c>
      <c r="K155" s="6">
        <f t="shared" si="20"/>
        <v>15154416783.226665</v>
      </c>
      <c r="L155" s="6">
        <f t="shared" si="21"/>
        <v>12125867944.000002</v>
      </c>
      <c r="M155" s="5">
        <f t="shared" si="22"/>
        <v>1.2497593453279539</v>
      </c>
      <c r="N155" s="5">
        <f t="shared" si="23"/>
        <v>55.550801374525363</v>
      </c>
    </row>
    <row r="156" spans="1:14" x14ac:dyDescent="0.25">
      <c r="A156" s="7">
        <v>43697</v>
      </c>
      <c r="B156" s="5">
        <v>15.07</v>
      </c>
      <c r="C156" s="5">
        <v>15.35</v>
      </c>
      <c r="D156" s="5">
        <v>14.92</v>
      </c>
      <c r="E156" s="5">
        <v>15.14</v>
      </c>
      <c r="F156" s="6">
        <v>192104144</v>
      </c>
      <c r="G156" s="5">
        <f t="shared" si="16"/>
        <v>15.136666666666665</v>
      </c>
      <c r="H156" s="6">
        <f t="shared" si="17"/>
        <v>2907816393.0133328</v>
      </c>
      <c r="I156" s="6">
        <f t="shared" si="18"/>
        <v>2907816393.0133328</v>
      </c>
      <c r="J156" s="6">
        <f t="shared" si="19"/>
        <v>0</v>
      </c>
      <c r="K156" s="6">
        <f t="shared" si="20"/>
        <v>18062233176.239998</v>
      </c>
      <c r="L156" s="6">
        <f t="shared" si="21"/>
        <v>11216520771.653334</v>
      </c>
      <c r="M156" s="5">
        <f t="shared" si="22"/>
        <v>1.6103240518117985</v>
      </c>
      <c r="N156" s="5">
        <f t="shared" si="23"/>
        <v>61.690580167396824</v>
      </c>
    </row>
    <row r="157" spans="1:14" x14ac:dyDescent="0.25">
      <c r="A157" s="7">
        <v>43698</v>
      </c>
      <c r="B157" s="5">
        <v>15.02</v>
      </c>
      <c r="C157" s="5">
        <v>15.04</v>
      </c>
      <c r="D157" s="5">
        <v>14.53</v>
      </c>
      <c r="E157" s="5">
        <v>14.6</v>
      </c>
      <c r="F157" s="6">
        <v>199013200</v>
      </c>
      <c r="G157" s="5">
        <f t="shared" si="16"/>
        <v>14.723333333333334</v>
      </c>
      <c r="H157" s="6">
        <f t="shared" si="17"/>
        <v>2930137681.3333335</v>
      </c>
      <c r="I157" s="6">
        <f t="shared" si="18"/>
        <v>0</v>
      </c>
      <c r="J157" s="6">
        <f t="shared" si="19"/>
        <v>2930137681.3333335</v>
      </c>
      <c r="K157" s="6">
        <f t="shared" si="20"/>
        <v>18062233176.239998</v>
      </c>
      <c r="L157" s="6">
        <f t="shared" si="21"/>
        <v>13395517085.306669</v>
      </c>
      <c r="M157" s="5">
        <f t="shared" si="22"/>
        <v>1.3483789435834601</v>
      </c>
      <c r="N157" s="5">
        <f t="shared" si="23"/>
        <v>57.417434578336376</v>
      </c>
    </row>
    <row r="158" spans="1:14" x14ac:dyDescent="0.25">
      <c r="A158" s="7">
        <v>43699</v>
      </c>
      <c r="B158" s="5">
        <v>14.55</v>
      </c>
      <c r="C158" s="5">
        <v>14.6</v>
      </c>
      <c r="D158" s="5">
        <v>14.35</v>
      </c>
      <c r="E158" s="5">
        <v>14.46</v>
      </c>
      <c r="F158" s="6">
        <v>135307152</v>
      </c>
      <c r="G158" s="5">
        <f t="shared" si="16"/>
        <v>14.469999999999999</v>
      </c>
      <c r="H158" s="6">
        <f t="shared" si="17"/>
        <v>1957894489.4399998</v>
      </c>
      <c r="I158" s="6">
        <f t="shared" si="18"/>
        <v>0</v>
      </c>
      <c r="J158" s="6">
        <f t="shared" si="19"/>
        <v>1957894489.4399998</v>
      </c>
      <c r="K158" s="6">
        <f t="shared" si="20"/>
        <v>18062233176.239998</v>
      </c>
      <c r="L158" s="6">
        <f t="shared" si="21"/>
        <v>14004243841.066669</v>
      </c>
      <c r="M158" s="5">
        <f t="shared" si="22"/>
        <v>1.2897685431093038</v>
      </c>
      <c r="N158" s="5">
        <f t="shared" si="23"/>
        <v>56.327463620314731</v>
      </c>
    </row>
    <row r="159" spans="1:14" x14ac:dyDescent="0.25">
      <c r="A159" s="7">
        <v>43700</v>
      </c>
      <c r="B159" s="5">
        <v>14.52</v>
      </c>
      <c r="C159" s="5">
        <v>14.89</v>
      </c>
      <c r="D159" s="5">
        <v>14.5</v>
      </c>
      <c r="E159" s="5">
        <v>14.8</v>
      </c>
      <c r="F159" s="6">
        <v>163686768</v>
      </c>
      <c r="G159" s="5">
        <f t="shared" si="16"/>
        <v>14.729999999999999</v>
      </c>
      <c r="H159" s="6">
        <f t="shared" si="17"/>
        <v>2411106092.6399999</v>
      </c>
      <c r="I159" s="6">
        <f t="shared" si="18"/>
        <v>2411106092.6399999</v>
      </c>
      <c r="J159" s="6">
        <f t="shared" si="19"/>
        <v>0</v>
      </c>
      <c r="K159" s="6">
        <f t="shared" si="20"/>
        <v>20473339268.879997</v>
      </c>
      <c r="L159" s="6">
        <f t="shared" si="21"/>
        <v>12792331024.266668</v>
      </c>
      <c r="M159" s="5">
        <f t="shared" si="22"/>
        <v>1.6004385150792835</v>
      </c>
      <c r="N159" s="5">
        <f t="shared" si="23"/>
        <v>61.544947354023044</v>
      </c>
    </row>
    <row r="160" spans="1:14" x14ac:dyDescent="0.25">
      <c r="A160" s="7">
        <v>43703</v>
      </c>
      <c r="B160" s="5">
        <v>14.57</v>
      </c>
      <c r="C160" s="5">
        <v>14.65</v>
      </c>
      <c r="D160" s="5">
        <v>14.3</v>
      </c>
      <c r="E160" s="5">
        <v>14.4</v>
      </c>
      <c r="F160" s="6">
        <v>141512256</v>
      </c>
      <c r="G160" s="5">
        <f t="shared" si="16"/>
        <v>14.450000000000001</v>
      </c>
      <c r="H160" s="6">
        <f t="shared" si="17"/>
        <v>2044852099.2</v>
      </c>
      <c r="I160" s="6">
        <f t="shared" si="18"/>
        <v>0</v>
      </c>
      <c r="J160" s="6">
        <f t="shared" si="19"/>
        <v>2044852099.2</v>
      </c>
      <c r="K160" s="6">
        <f t="shared" si="20"/>
        <v>20473339268.879997</v>
      </c>
      <c r="L160" s="6">
        <f t="shared" si="21"/>
        <v>13651398472.560001</v>
      </c>
      <c r="M160" s="5">
        <f t="shared" si="22"/>
        <v>1.4997246846198535</v>
      </c>
      <c r="N160" s="5">
        <f t="shared" si="23"/>
        <v>59.995594468753453</v>
      </c>
    </row>
    <row r="161" spans="1:14" x14ac:dyDescent="0.25">
      <c r="A161" s="7">
        <v>43704</v>
      </c>
      <c r="B161" s="5">
        <v>14.51</v>
      </c>
      <c r="C161" s="5">
        <v>14.63</v>
      </c>
      <c r="D161" s="5">
        <v>14.39</v>
      </c>
      <c r="E161" s="5">
        <v>14.46</v>
      </c>
      <c r="F161" s="6">
        <v>135671344</v>
      </c>
      <c r="G161" s="5">
        <f t="shared" si="16"/>
        <v>14.493333333333334</v>
      </c>
      <c r="H161" s="6">
        <f t="shared" si="17"/>
        <v>1966330012.3733335</v>
      </c>
      <c r="I161" s="6">
        <f t="shared" si="18"/>
        <v>1966330012.3733335</v>
      </c>
      <c r="J161" s="6">
        <f t="shared" si="19"/>
        <v>0</v>
      </c>
      <c r="K161" s="6">
        <f t="shared" si="20"/>
        <v>21355849369.25333</v>
      </c>
      <c r="L161" s="6">
        <f t="shared" si="21"/>
        <v>13651398472.560001</v>
      </c>
      <c r="M161" s="5">
        <f t="shared" si="22"/>
        <v>1.5643708160874259</v>
      </c>
      <c r="N161" s="5">
        <f t="shared" si="23"/>
        <v>61.00407968588005</v>
      </c>
    </row>
    <row r="162" spans="1:14" x14ac:dyDescent="0.25">
      <c r="A162" s="7">
        <v>43705</v>
      </c>
      <c r="B162" s="5">
        <v>14.41</v>
      </c>
      <c r="C162" s="5">
        <v>14.43</v>
      </c>
      <c r="D162" s="5">
        <v>14.2</v>
      </c>
      <c r="E162" s="5">
        <v>14.42</v>
      </c>
      <c r="F162" s="6">
        <v>82965768</v>
      </c>
      <c r="G162" s="5">
        <f t="shared" si="16"/>
        <v>14.35</v>
      </c>
      <c r="H162" s="6">
        <f t="shared" si="17"/>
        <v>1190558770.8</v>
      </c>
      <c r="I162" s="6">
        <f t="shared" si="18"/>
        <v>0</v>
      </c>
      <c r="J162" s="6">
        <f t="shared" si="19"/>
        <v>1190558770.8</v>
      </c>
      <c r="K162" s="6">
        <f t="shared" si="20"/>
        <v>18001173521.679996</v>
      </c>
      <c r="L162" s="6">
        <f t="shared" si="21"/>
        <v>14841957243.360001</v>
      </c>
      <c r="M162" s="5">
        <f t="shared" si="22"/>
        <v>1.2128571202920939</v>
      </c>
      <c r="N162" s="5">
        <f t="shared" si="23"/>
        <v>54.809554090505337</v>
      </c>
    </row>
    <row r="163" spans="1:14" x14ac:dyDescent="0.25">
      <c r="A163" s="7">
        <v>43706</v>
      </c>
      <c r="B163" s="5">
        <v>14.37</v>
      </c>
      <c r="C163" s="5">
        <v>14.39</v>
      </c>
      <c r="D163" s="5">
        <v>14.23</v>
      </c>
      <c r="E163" s="5">
        <v>14.28</v>
      </c>
      <c r="F163" s="6">
        <v>60903432</v>
      </c>
      <c r="G163" s="5">
        <f t="shared" si="16"/>
        <v>14.299999999999999</v>
      </c>
      <c r="H163" s="6">
        <f t="shared" si="17"/>
        <v>870919077.5999999</v>
      </c>
      <c r="I163" s="6">
        <f t="shared" si="18"/>
        <v>0</v>
      </c>
      <c r="J163" s="6">
        <f t="shared" si="19"/>
        <v>870919077.5999999</v>
      </c>
      <c r="K163" s="6">
        <f t="shared" si="20"/>
        <v>14961825101.679998</v>
      </c>
      <c r="L163" s="6">
        <f t="shared" si="21"/>
        <v>15712876320.960001</v>
      </c>
      <c r="M163" s="5">
        <f t="shared" si="22"/>
        <v>0.95220154452064598</v>
      </c>
      <c r="N163" s="5">
        <f t="shared" si="23"/>
        <v>48.775780717582343</v>
      </c>
    </row>
    <row r="164" spans="1:14" x14ac:dyDescent="0.25">
      <c r="A164" s="7">
        <v>43707</v>
      </c>
      <c r="B164" s="5">
        <v>14.44</v>
      </c>
      <c r="C164" s="5">
        <v>14.54</v>
      </c>
      <c r="D164" s="5">
        <v>14.25</v>
      </c>
      <c r="E164" s="5">
        <v>14.31</v>
      </c>
      <c r="F164" s="6">
        <v>79850056</v>
      </c>
      <c r="G164" s="5">
        <f t="shared" si="16"/>
        <v>14.366666666666667</v>
      </c>
      <c r="H164" s="6">
        <f t="shared" si="17"/>
        <v>1147179137.8666668</v>
      </c>
      <c r="I164" s="6">
        <f t="shared" si="18"/>
        <v>1147179137.8666668</v>
      </c>
      <c r="J164" s="6">
        <f t="shared" si="19"/>
        <v>0</v>
      </c>
      <c r="K164" s="6">
        <f t="shared" si="20"/>
        <v>11982442725.413332</v>
      </c>
      <c r="L164" s="6">
        <f t="shared" si="21"/>
        <v>15712876320.960001</v>
      </c>
      <c r="M164" s="5">
        <f t="shared" si="22"/>
        <v>0.76258747798004989</v>
      </c>
      <c r="N164" s="5">
        <f t="shared" si="23"/>
        <v>43.265227258620143</v>
      </c>
    </row>
    <row r="165" spans="1:14" x14ac:dyDescent="0.25">
      <c r="A165" s="7">
        <v>43710</v>
      </c>
      <c r="B165" s="5">
        <v>14.3</v>
      </c>
      <c r="C165" s="5">
        <v>14.65</v>
      </c>
      <c r="D165" s="5">
        <v>14.26</v>
      </c>
      <c r="E165" s="5">
        <v>14.6</v>
      </c>
      <c r="F165" s="6">
        <v>136020128</v>
      </c>
      <c r="G165" s="5">
        <f t="shared" si="16"/>
        <v>14.503333333333332</v>
      </c>
      <c r="H165" s="6">
        <f t="shared" si="17"/>
        <v>1972745256.4266665</v>
      </c>
      <c r="I165" s="6">
        <f t="shared" si="18"/>
        <v>1972745256.4266665</v>
      </c>
      <c r="J165" s="6">
        <f t="shared" si="19"/>
        <v>0</v>
      </c>
      <c r="K165" s="6">
        <f t="shared" si="20"/>
        <v>13955187981.839998</v>
      </c>
      <c r="L165" s="6">
        <f t="shared" si="21"/>
        <v>13765371673.066668</v>
      </c>
      <c r="M165" s="5">
        <f t="shared" si="22"/>
        <v>1.0137894067288227</v>
      </c>
      <c r="N165" s="5">
        <f t="shared" si="23"/>
        <v>50.342374596935187</v>
      </c>
    </row>
    <row r="166" spans="1:14" x14ac:dyDescent="0.25">
      <c r="A166" s="7">
        <v>43711</v>
      </c>
      <c r="B166" s="5">
        <v>14.63</v>
      </c>
      <c r="C166" s="5">
        <v>14.66</v>
      </c>
      <c r="D166" s="5">
        <v>14.4</v>
      </c>
      <c r="E166" s="5">
        <v>14.45</v>
      </c>
      <c r="F166" s="6">
        <v>85865368</v>
      </c>
      <c r="G166" s="5">
        <f t="shared" si="16"/>
        <v>14.503333333333336</v>
      </c>
      <c r="H166" s="6">
        <f t="shared" si="17"/>
        <v>1245334053.8933334</v>
      </c>
      <c r="I166" s="6">
        <f t="shared" si="18"/>
        <v>0</v>
      </c>
      <c r="J166" s="6">
        <f t="shared" si="19"/>
        <v>0</v>
      </c>
      <c r="K166" s="6">
        <f t="shared" si="20"/>
        <v>11894413458.959999</v>
      </c>
      <c r="L166" s="6">
        <f t="shared" si="21"/>
        <v>13765371673.066668</v>
      </c>
      <c r="M166" s="5">
        <f t="shared" si="22"/>
        <v>0.86408225956096874</v>
      </c>
      <c r="N166" s="5">
        <f t="shared" si="23"/>
        <v>46.354298750983155</v>
      </c>
    </row>
    <row r="167" spans="1:14" x14ac:dyDescent="0.25">
      <c r="A167" s="7">
        <v>43712</v>
      </c>
      <c r="B167" s="5">
        <v>14.47</v>
      </c>
      <c r="C167" s="5">
        <v>14.65</v>
      </c>
      <c r="D167" s="5">
        <v>14.46</v>
      </c>
      <c r="E167" s="5">
        <v>14.59</v>
      </c>
      <c r="F167" s="6">
        <v>97396488</v>
      </c>
      <c r="G167" s="5">
        <f t="shared" si="16"/>
        <v>14.566666666666668</v>
      </c>
      <c r="H167" s="6">
        <f t="shared" si="17"/>
        <v>1418742175.2</v>
      </c>
      <c r="I167" s="6">
        <f t="shared" si="18"/>
        <v>1418742175.2</v>
      </c>
      <c r="J167" s="6">
        <f t="shared" si="19"/>
        <v>0</v>
      </c>
      <c r="K167" s="6">
        <f t="shared" si="20"/>
        <v>13313155634.16</v>
      </c>
      <c r="L167" s="6">
        <f t="shared" si="21"/>
        <v>12420802940.133333</v>
      </c>
      <c r="M167" s="5">
        <f t="shared" si="22"/>
        <v>1.0718433983960369</v>
      </c>
      <c r="N167" s="5">
        <f t="shared" si="23"/>
        <v>51.733803781976384</v>
      </c>
    </row>
    <row r="168" spans="1:14" x14ac:dyDescent="0.25">
      <c r="A168" s="7">
        <v>43713</v>
      </c>
      <c r="B168" s="5">
        <v>14.71</v>
      </c>
      <c r="C168" s="5">
        <v>15</v>
      </c>
      <c r="D168" s="5">
        <v>14.7</v>
      </c>
      <c r="E168" s="5">
        <v>14.73</v>
      </c>
      <c r="F168" s="6">
        <v>176805136</v>
      </c>
      <c r="G168" s="5">
        <f t="shared" si="16"/>
        <v>14.81</v>
      </c>
      <c r="H168" s="6">
        <f t="shared" si="17"/>
        <v>2618484064.1600003</v>
      </c>
      <c r="I168" s="6">
        <f t="shared" si="18"/>
        <v>2618484064.1600003</v>
      </c>
      <c r="J168" s="6">
        <f t="shared" si="19"/>
        <v>0</v>
      </c>
      <c r="K168" s="6">
        <f t="shared" si="20"/>
        <v>14442403131.68</v>
      </c>
      <c r="L168" s="6">
        <f t="shared" si="21"/>
        <v>12420802940.133333</v>
      </c>
      <c r="M168" s="5">
        <f t="shared" si="22"/>
        <v>1.162759219455499</v>
      </c>
      <c r="N168" s="5">
        <f t="shared" si="23"/>
        <v>53.762767902949356</v>
      </c>
    </row>
    <row r="169" spans="1:14" x14ac:dyDescent="0.25">
      <c r="A169" s="7">
        <v>43714</v>
      </c>
      <c r="B169" s="5">
        <v>14.86</v>
      </c>
      <c r="C169" s="5">
        <v>14.96</v>
      </c>
      <c r="D169" s="5">
        <v>14.77</v>
      </c>
      <c r="E169" s="5">
        <v>14.96</v>
      </c>
      <c r="F169" s="6">
        <v>98643280</v>
      </c>
      <c r="G169" s="5">
        <f t="shared" si="16"/>
        <v>14.896666666666667</v>
      </c>
      <c r="H169" s="6">
        <f t="shared" si="17"/>
        <v>1469456061.0666666</v>
      </c>
      <c r="I169" s="6">
        <f t="shared" si="18"/>
        <v>1469456061.0666666</v>
      </c>
      <c r="J169" s="6">
        <f t="shared" si="19"/>
        <v>0</v>
      </c>
      <c r="K169" s="6">
        <f t="shared" si="20"/>
        <v>15911859192.746666</v>
      </c>
      <c r="L169" s="6">
        <f t="shared" si="21"/>
        <v>8994362118.373333</v>
      </c>
      <c r="M169" s="5">
        <f t="shared" si="22"/>
        <v>1.7690925696934683</v>
      </c>
      <c r="N169" s="5">
        <f t="shared" si="23"/>
        <v>63.887086659919873</v>
      </c>
    </row>
    <row r="170" spans="1:14" x14ac:dyDescent="0.25">
      <c r="A170" s="7">
        <v>43717</v>
      </c>
      <c r="B170" s="5">
        <v>15.13</v>
      </c>
      <c r="C170" s="5">
        <v>15.15</v>
      </c>
      <c r="D170" s="5">
        <v>14.75</v>
      </c>
      <c r="E170" s="5">
        <v>14.84</v>
      </c>
      <c r="F170" s="6">
        <v>129983912</v>
      </c>
      <c r="G170" s="5">
        <f t="shared" si="16"/>
        <v>14.913333333333332</v>
      </c>
      <c r="H170" s="6">
        <f t="shared" si="17"/>
        <v>1938493407.6266665</v>
      </c>
      <c r="I170" s="6">
        <f t="shared" si="18"/>
        <v>1938493407.6266665</v>
      </c>
      <c r="J170" s="6">
        <f t="shared" si="19"/>
        <v>0</v>
      </c>
      <c r="K170" s="6">
        <f t="shared" si="20"/>
        <v>14942536207.360001</v>
      </c>
      <c r="L170" s="6">
        <f t="shared" si="21"/>
        <v>8994362118.373333</v>
      </c>
      <c r="M170" s="5">
        <f t="shared" si="22"/>
        <v>1.661322505220906</v>
      </c>
      <c r="N170" s="5">
        <f t="shared" si="23"/>
        <v>62.424696817532308</v>
      </c>
    </row>
    <row r="171" spans="1:14" x14ac:dyDescent="0.25">
      <c r="A171" s="7">
        <v>43718</v>
      </c>
      <c r="B171" s="5">
        <v>14.75</v>
      </c>
      <c r="C171" s="5">
        <v>14.79</v>
      </c>
      <c r="D171" s="5">
        <v>14.56</v>
      </c>
      <c r="E171" s="5">
        <v>14.7</v>
      </c>
      <c r="F171" s="6">
        <v>79687064</v>
      </c>
      <c r="G171" s="5">
        <f t="shared" si="16"/>
        <v>14.683333333333332</v>
      </c>
      <c r="H171" s="6">
        <f t="shared" si="17"/>
        <v>1170071723.0666666</v>
      </c>
      <c r="I171" s="6">
        <f t="shared" si="18"/>
        <v>0</v>
      </c>
      <c r="J171" s="6">
        <f t="shared" si="19"/>
        <v>1170071723.0666666</v>
      </c>
      <c r="K171" s="6">
        <f t="shared" si="20"/>
        <v>14942536207.360001</v>
      </c>
      <c r="L171" s="6">
        <f t="shared" si="21"/>
        <v>7234296160.1066656</v>
      </c>
      <c r="M171" s="5">
        <f t="shared" si="22"/>
        <v>2.0655134759011138</v>
      </c>
      <c r="N171" s="5">
        <f t="shared" si="23"/>
        <v>67.37903754586992</v>
      </c>
    </row>
    <row r="172" spans="1:14" x14ac:dyDescent="0.25">
      <c r="A172" s="7">
        <v>43719</v>
      </c>
      <c r="B172" s="5">
        <v>14.75</v>
      </c>
      <c r="C172" s="5">
        <v>14.86</v>
      </c>
      <c r="D172" s="5">
        <v>14.61</v>
      </c>
      <c r="E172" s="5">
        <v>14.71</v>
      </c>
      <c r="F172" s="6">
        <v>81861424</v>
      </c>
      <c r="G172" s="5">
        <f t="shared" si="16"/>
        <v>14.726666666666667</v>
      </c>
      <c r="H172" s="6">
        <f t="shared" si="17"/>
        <v>1205545904.1066666</v>
      </c>
      <c r="I172" s="6">
        <f t="shared" si="18"/>
        <v>1205545904.1066666</v>
      </c>
      <c r="J172" s="6">
        <f t="shared" si="19"/>
        <v>0</v>
      </c>
      <c r="K172" s="6">
        <f t="shared" si="20"/>
        <v>16148082111.466667</v>
      </c>
      <c r="L172" s="6">
        <f t="shared" si="21"/>
        <v>5276401670.666666</v>
      </c>
      <c r="M172" s="5">
        <f t="shared" si="22"/>
        <v>3.0604345763210969</v>
      </c>
      <c r="N172" s="5">
        <f t="shared" si="23"/>
        <v>75.372094262234441</v>
      </c>
    </row>
    <row r="173" spans="1:14" x14ac:dyDescent="0.25">
      <c r="A173" s="7">
        <v>43720</v>
      </c>
      <c r="B173" s="5">
        <v>14.81</v>
      </c>
      <c r="C173" s="5">
        <v>14.93</v>
      </c>
      <c r="D173" s="5">
        <v>14.68</v>
      </c>
      <c r="E173" s="5">
        <v>14.83</v>
      </c>
      <c r="F173" s="6">
        <v>115068768</v>
      </c>
      <c r="G173" s="5">
        <f t="shared" si="16"/>
        <v>14.813333333333333</v>
      </c>
      <c r="H173" s="6">
        <f t="shared" si="17"/>
        <v>1704552016.6399999</v>
      </c>
      <c r="I173" s="6">
        <f t="shared" si="18"/>
        <v>1704552016.6399999</v>
      </c>
      <c r="J173" s="6">
        <f t="shared" si="19"/>
        <v>0</v>
      </c>
      <c r="K173" s="6">
        <f t="shared" si="20"/>
        <v>15441528035.466667</v>
      </c>
      <c r="L173" s="6">
        <f t="shared" si="21"/>
        <v>5276401670.666666</v>
      </c>
      <c r="M173" s="5">
        <f t="shared" si="22"/>
        <v>2.9265262577167768</v>
      </c>
      <c r="N173" s="5">
        <f t="shared" si="23"/>
        <v>74.532196288393422</v>
      </c>
    </row>
    <row r="174" spans="1:14" x14ac:dyDescent="0.25">
      <c r="A174" s="7">
        <v>43724</v>
      </c>
      <c r="B174" s="5">
        <v>14.85</v>
      </c>
      <c r="C174" s="5">
        <v>14.87</v>
      </c>
      <c r="D174" s="5">
        <v>14.55</v>
      </c>
      <c r="E174" s="5">
        <v>14.6</v>
      </c>
      <c r="F174" s="6">
        <v>92989416</v>
      </c>
      <c r="G174" s="5">
        <f t="shared" si="16"/>
        <v>14.673333333333334</v>
      </c>
      <c r="H174" s="6">
        <f t="shared" si="17"/>
        <v>1364464697.4400001</v>
      </c>
      <c r="I174" s="6">
        <f t="shared" si="18"/>
        <v>0</v>
      </c>
      <c r="J174" s="6">
        <f t="shared" si="19"/>
        <v>1364464697.4400001</v>
      </c>
      <c r="K174" s="6">
        <f t="shared" si="20"/>
        <v>15441528035.466667</v>
      </c>
      <c r="L174" s="6">
        <f t="shared" si="21"/>
        <v>4596014268.9066658</v>
      </c>
      <c r="M174" s="5">
        <f t="shared" si="22"/>
        <v>3.359765033788725</v>
      </c>
      <c r="N174" s="5">
        <f t="shared" si="23"/>
        <v>77.062984077126288</v>
      </c>
    </row>
    <row r="175" spans="1:14" x14ac:dyDescent="0.25">
      <c r="A175" s="7">
        <v>43725</v>
      </c>
      <c r="B175" s="5">
        <v>14.51</v>
      </c>
      <c r="C175" s="5">
        <v>14.6</v>
      </c>
      <c r="D175" s="5">
        <v>14.33</v>
      </c>
      <c r="E175" s="5">
        <v>14.39</v>
      </c>
      <c r="F175" s="6">
        <v>88265576</v>
      </c>
      <c r="G175" s="5">
        <f t="shared" si="16"/>
        <v>14.44</v>
      </c>
      <c r="H175" s="6">
        <f t="shared" si="17"/>
        <v>1274554917.4400001</v>
      </c>
      <c r="I175" s="6">
        <f t="shared" si="18"/>
        <v>0</v>
      </c>
      <c r="J175" s="6">
        <f t="shared" si="19"/>
        <v>1274554917.4400001</v>
      </c>
      <c r="K175" s="6">
        <f t="shared" si="20"/>
        <v>13475198023.093334</v>
      </c>
      <c r="L175" s="6">
        <f t="shared" si="21"/>
        <v>5870569186.3466663</v>
      </c>
      <c r="M175" s="5">
        <f t="shared" si="22"/>
        <v>2.2953818608309646</v>
      </c>
      <c r="N175" s="5">
        <f t="shared" si="23"/>
        <v>69.654503112794345</v>
      </c>
    </row>
    <row r="176" spans="1:14" x14ac:dyDescent="0.25">
      <c r="A176" s="7">
        <v>43726</v>
      </c>
      <c r="B176" s="5">
        <v>14.39</v>
      </c>
      <c r="C176" s="5">
        <v>14.63</v>
      </c>
      <c r="D176" s="5">
        <v>14.39</v>
      </c>
      <c r="E176" s="5">
        <v>14.56</v>
      </c>
      <c r="F176" s="6">
        <v>82043632</v>
      </c>
      <c r="G176" s="5">
        <f t="shared" si="16"/>
        <v>14.526666666666669</v>
      </c>
      <c r="H176" s="6">
        <f t="shared" si="17"/>
        <v>1191820494.186667</v>
      </c>
      <c r="I176" s="6">
        <f t="shared" si="18"/>
        <v>1191820494.186667</v>
      </c>
      <c r="J176" s="6">
        <f t="shared" si="19"/>
        <v>0</v>
      </c>
      <c r="K176" s="6">
        <f t="shared" si="20"/>
        <v>14667018517.280001</v>
      </c>
      <c r="L176" s="6">
        <f t="shared" si="21"/>
        <v>4680010415.5466671</v>
      </c>
      <c r="M176" s="5">
        <f t="shared" si="22"/>
        <v>3.1339713408665055</v>
      </c>
      <c r="N176" s="5">
        <f t="shared" si="23"/>
        <v>75.810185471910074</v>
      </c>
    </row>
    <row r="177" spans="1:14" x14ac:dyDescent="0.25">
      <c r="A177" s="7">
        <v>43727</v>
      </c>
      <c r="B177" s="5">
        <v>14.63</v>
      </c>
      <c r="C177" s="5">
        <v>15.04</v>
      </c>
      <c r="D177" s="5">
        <v>14.63</v>
      </c>
      <c r="E177" s="5">
        <v>14.99</v>
      </c>
      <c r="F177" s="6">
        <v>188402080</v>
      </c>
      <c r="G177" s="5">
        <f t="shared" si="16"/>
        <v>14.886666666666668</v>
      </c>
      <c r="H177" s="6">
        <f t="shared" si="17"/>
        <v>2804678964.2666669</v>
      </c>
      <c r="I177" s="6">
        <f t="shared" si="18"/>
        <v>2804678964.2666669</v>
      </c>
      <c r="J177" s="6">
        <f t="shared" si="19"/>
        <v>0</v>
      </c>
      <c r="K177" s="6">
        <f t="shared" si="20"/>
        <v>17471697481.546669</v>
      </c>
      <c r="L177" s="6">
        <f t="shared" si="21"/>
        <v>3809091337.9466667</v>
      </c>
      <c r="M177" s="5">
        <f t="shared" si="22"/>
        <v>4.5868413045104299</v>
      </c>
      <c r="N177" s="5">
        <f t="shared" si="23"/>
        <v>82.100798188187866</v>
      </c>
    </row>
    <row r="178" spans="1:14" x14ac:dyDescent="0.25">
      <c r="A178" s="7">
        <v>43728</v>
      </c>
      <c r="B178" s="5">
        <v>15.1</v>
      </c>
      <c r="C178" s="5">
        <v>15.55</v>
      </c>
      <c r="D178" s="5">
        <v>15.08</v>
      </c>
      <c r="E178" s="5">
        <v>15.49</v>
      </c>
      <c r="F178" s="6">
        <v>264428512</v>
      </c>
      <c r="G178" s="5">
        <f t="shared" si="16"/>
        <v>15.373333333333335</v>
      </c>
      <c r="H178" s="6">
        <f t="shared" si="17"/>
        <v>4065147657.8133335</v>
      </c>
      <c r="I178" s="6">
        <f t="shared" si="18"/>
        <v>4065147657.8133335</v>
      </c>
      <c r="J178" s="6">
        <f t="shared" si="19"/>
        <v>0</v>
      </c>
      <c r="K178" s="6">
        <f t="shared" si="20"/>
        <v>20389666001.493332</v>
      </c>
      <c r="L178" s="6">
        <f t="shared" si="21"/>
        <v>3809091337.9466667</v>
      </c>
      <c r="M178" s="5">
        <f t="shared" si="22"/>
        <v>5.3528950063152356</v>
      </c>
      <c r="N178" s="5">
        <f t="shared" si="23"/>
        <v>84.259144862209624</v>
      </c>
    </row>
    <row r="179" spans="1:14" x14ac:dyDescent="0.25">
      <c r="A179" s="7">
        <v>43731</v>
      </c>
      <c r="B179" s="5">
        <v>15.49</v>
      </c>
      <c r="C179" s="5">
        <v>15.62</v>
      </c>
      <c r="D179" s="5">
        <v>15.33</v>
      </c>
      <c r="E179" s="5">
        <v>15.53</v>
      </c>
      <c r="F179" s="6">
        <v>140328192</v>
      </c>
      <c r="G179" s="5">
        <f t="shared" si="16"/>
        <v>15.493333333333332</v>
      </c>
      <c r="H179" s="6">
        <f t="shared" si="17"/>
        <v>2174151454.7199998</v>
      </c>
      <c r="I179" s="6">
        <f t="shared" si="18"/>
        <v>2174151454.7199998</v>
      </c>
      <c r="J179" s="6">
        <f t="shared" si="19"/>
        <v>0</v>
      </c>
      <c r="K179" s="6">
        <f t="shared" si="20"/>
        <v>20591072199.786667</v>
      </c>
      <c r="L179" s="6">
        <f t="shared" si="21"/>
        <v>3809091337.9466667</v>
      </c>
      <c r="M179" s="5">
        <f t="shared" si="22"/>
        <v>5.4057701359522961</v>
      </c>
      <c r="N179" s="5">
        <f t="shared" si="23"/>
        <v>84.389074556585882</v>
      </c>
    </row>
    <row r="180" spans="1:14" x14ac:dyDescent="0.25">
      <c r="A180" s="7">
        <v>43732</v>
      </c>
      <c r="B180" s="5">
        <v>15.62</v>
      </c>
      <c r="C180" s="5">
        <v>15.69</v>
      </c>
      <c r="D180" s="5">
        <v>15.33</v>
      </c>
      <c r="E180" s="5">
        <v>15.33</v>
      </c>
      <c r="F180" s="6">
        <v>112910320</v>
      </c>
      <c r="G180" s="5">
        <f t="shared" si="16"/>
        <v>15.450000000000001</v>
      </c>
      <c r="H180" s="6">
        <f t="shared" si="17"/>
        <v>1744464444.0000002</v>
      </c>
      <c r="I180" s="6">
        <f t="shared" si="18"/>
        <v>0</v>
      </c>
      <c r="J180" s="6">
        <f t="shared" si="19"/>
        <v>1744464444.0000002</v>
      </c>
      <c r="K180" s="6">
        <f t="shared" si="20"/>
        <v>20591072199.786667</v>
      </c>
      <c r="L180" s="6">
        <f t="shared" si="21"/>
        <v>5553555781.9466667</v>
      </c>
      <c r="M180" s="5">
        <f t="shared" si="22"/>
        <v>3.7077276268158696</v>
      </c>
      <c r="N180" s="5">
        <f t="shared" si="23"/>
        <v>78.75832929874997</v>
      </c>
    </row>
    <row r="181" spans="1:14" x14ac:dyDescent="0.25">
      <c r="A181" s="7">
        <v>43733</v>
      </c>
      <c r="B181" s="5">
        <v>15.35</v>
      </c>
      <c r="C181" s="5">
        <v>16</v>
      </c>
      <c r="D181" s="5">
        <v>15.34</v>
      </c>
      <c r="E181" s="5">
        <v>15.9</v>
      </c>
      <c r="F181" s="6">
        <v>193889280</v>
      </c>
      <c r="G181" s="5">
        <f t="shared" si="16"/>
        <v>15.746666666666668</v>
      </c>
      <c r="H181" s="6">
        <f t="shared" si="17"/>
        <v>3053109862.4000001</v>
      </c>
      <c r="I181" s="6">
        <f t="shared" si="18"/>
        <v>3053109862.4000001</v>
      </c>
      <c r="J181" s="6">
        <f t="shared" si="19"/>
        <v>0</v>
      </c>
      <c r="K181" s="6">
        <f t="shared" si="20"/>
        <v>22225439886.986668</v>
      </c>
      <c r="L181" s="6">
        <f t="shared" si="21"/>
        <v>5553555781.9466667</v>
      </c>
      <c r="M181" s="5">
        <f t="shared" si="22"/>
        <v>4.0020197436814202</v>
      </c>
      <c r="N181" s="5">
        <f t="shared" si="23"/>
        <v>80.008075712551801</v>
      </c>
    </row>
    <row r="182" spans="1:14" x14ac:dyDescent="0.25">
      <c r="A182" s="7">
        <v>43734</v>
      </c>
      <c r="B182" s="5">
        <v>16.010000000000002</v>
      </c>
      <c r="C182" s="5">
        <v>16.190000000000001</v>
      </c>
      <c r="D182" s="5">
        <v>15.81</v>
      </c>
      <c r="E182" s="5">
        <v>15.86</v>
      </c>
      <c r="F182" s="6">
        <v>168659264</v>
      </c>
      <c r="G182" s="5">
        <f t="shared" si="16"/>
        <v>15.953333333333333</v>
      </c>
      <c r="H182" s="6">
        <f t="shared" si="17"/>
        <v>2690677458.3466668</v>
      </c>
      <c r="I182" s="6">
        <f t="shared" si="18"/>
        <v>2690677458.3466668</v>
      </c>
      <c r="J182" s="6">
        <f t="shared" si="19"/>
        <v>0</v>
      </c>
      <c r="K182" s="6">
        <f t="shared" si="20"/>
        <v>22297633281.173332</v>
      </c>
      <c r="L182" s="6">
        <f t="shared" si="21"/>
        <v>5553555781.9466667</v>
      </c>
      <c r="M182" s="5">
        <f t="shared" si="22"/>
        <v>4.0150192339217714</v>
      </c>
      <c r="N182" s="5">
        <f t="shared" si="23"/>
        <v>80.059897014233485</v>
      </c>
    </row>
    <row r="183" spans="1:14" x14ac:dyDescent="0.25">
      <c r="A183" s="7">
        <v>43735</v>
      </c>
      <c r="B183" s="5">
        <v>16</v>
      </c>
      <c r="C183" s="5">
        <v>16.149999999999999</v>
      </c>
      <c r="D183" s="5">
        <v>15.85</v>
      </c>
      <c r="E183" s="5">
        <v>16.05</v>
      </c>
      <c r="F183" s="6">
        <v>100770624</v>
      </c>
      <c r="G183" s="5">
        <f t="shared" si="16"/>
        <v>16.016666666666666</v>
      </c>
      <c r="H183" s="6">
        <f t="shared" si="17"/>
        <v>1614009494.3999999</v>
      </c>
      <c r="I183" s="6">
        <f t="shared" si="18"/>
        <v>1614009494.3999999</v>
      </c>
      <c r="J183" s="6">
        <f t="shared" si="19"/>
        <v>0</v>
      </c>
      <c r="K183" s="6">
        <f t="shared" si="20"/>
        <v>22442186714.506668</v>
      </c>
      <c r="L183" s="6">
        <f t="shared" si="21"/>
        <v>5553555781.9466667</v>
      </c>
      <c r="M183" s="5">
        <f t="shared" si="22"/>
        <v>4.0410482212965357</v>
      </c>
      <c r="N183" s="5">
        <f t="shared" si="23"/>
        <v>80.162855896212704</v>
      </c>
    </row>
    <row r="184" spans="1:14" x14ac:dyDescent="0.25">
      <c r="A184" s="7">
        <v>43738</v>
      </c>
      <c r="B184" s="5">
        <v>15.9</v>
      </c>
      <c r="C184" s="5">
        <v>16.04</v>
      </c>
      <c r="D184" s="5">
        <v>15.72</v>
      </c>
      <c r="E184" s="5">
        <v>15.74</v>
      </c>
      <c r="F184" s="6">
        <v>104636320</v>
      </c>
      <c r="G184" s="5">
        <f t="shared" si="16"/>
        <v>15.833333333333334</v>
      </c>
      <c r="H184" s="6">
        <f t="shared" si="17"/>
        <v>1656741733.3333335</v>
      </c>
      <c r="I184" s="6">
        <f t="shared" si="18"/>
        <v>0</v>
      </c>
      <c r="J184" s="6">
        <f t="shared" si="19"/>
        <v>1656741733.3333335</v>
      </c>
      <c r="K184" s="6">
        <f t="shared" si="20"/>
        <v>20503693306.880001</v>
      </c>
      <c r="L184" s="6">
        <f t="shared" si="21"/>
        <v>7210297515.2800007</v>
      </c>
      <c r="M184" s="5">
        <f t="shared" si="22"/>
        <v>2.8436681376085731</v>
      </c>
      <c r="N184" s="5">
        <f t="shared" si="23"/>
        <v>73.983185743445233</v>
      </c>
    </row>
    <row r="185" spans="1:14" x14ac:dyDescent="0.25">
      <c r="A185" s="7">
        <v>43746</v>
      </c>
      <c r="B185" s="5">
        <v>15.75</v>
      </c>
      <c r="C185" s="5">
        <v>16.38</v>
      </c>
      <c r="D185" s="5">
        <v>15.75</v>
      </c>
      <c r="E185" s="5">
        <v>16.350000000000001</v>
      </c>
      <c r="F185" s="6">
        <v>138667632</v>
      </c>
      <c r="G185" s="5">
        <f t="shared" si="16"/>
        <v>16.16</v>
      </c>
      <c r="H185" s="6">
        <f t="shared" si="17"/>
        <v>2240868933.1199999</v>
      </c>
      <c r="I185" s="6">
        <f t="shared" si="18"/>
        <v>2240868933.1199999</v>
      </c>
      <c r="J185" s="6">
        <f t="shared" si="19"/>
        <v>0</v>
      </c>
      <c r="K185" s="6">
        <f t="shared" si="20"/>
        <v>22744562240</v>
      </c>
      <c r="L185" s="6">
        <f t="shared" si="21"/>
        <v>6040225792.2133331</v>
      </c>
      <c r="M185" s="5">
        <f t="shared" si="22"/>
        <v>3.76551523443392</v>
      </c>
      <c r="N185" s="5">
        <f t="shared" si="23"/>
        <v>79.015910120812222</v>
      </c>
    </row>
    <row r="186" spans="1:14" x14ac:dyDescent="0.25">
      <c r="A186" s="7">
        <v>43747</v>
      </c>
      <c r="B186" s="5">
        <v>16.25</v>
      </c>
      <c r="C186" s="5">
        <v>16.670000000000002</v>
      </c>
      <c r="D186" s="5">
        <v>16.170000000000002</v>
      </c>
      <c r="E186" s="5">
        <v>16.399999999999999</v>
      </c>
      <c r="F186" s="6">
        <v>131669344</v>
      </c>
      <c r="G186" s="5">
        <f t="shared" si="16"/>
        <v>16.413333333333334</v>
      </c>
      <c r="H186" s="6">
        <f t="shared" si="17"/>
        <v>2161132832.8533335</v>
      </c>
      <c r="I186" s="6">
        <f t="shared" si="18"/>
        <v>2161132832.8533335</v>
      </c>
      <c r="J186" s="6">
        <f t="shared" si="19"/>
        <v>0</v>
      </c>
      <c r="K186" s="6">
        <f t="shared" si="20"/>
        <v>23700149168.746666</v>
      </c>
      <c r="L186" s="6">
        <f t="shared" si="21"/>
        <v>6040225792.2133331</v>
      </c>
      <c r="M186" s="5">
        <f t="shared" si="22"/>
        <v>3.9237190767436805</v>
      </c>
      <c r="N186" s="5">
        <f t="shared" si="23"/>
        <v>79.690149165428139</v>
      </c>
    </row>
    <row r="187" spans="1:14" x14ac:dyDescent="0.25">
      <c r="A187" s="7">
        <v>43748</v>
      </c>
      <c r="B187" s="5">
        <v>16.420000000000002</v>
      </c>
      <c r="C187" s="5">
        <v>16.420000000000002</v>
      </c>
      <c r="D187" s="5">
        <v>16.14</v>
      </c>
      <c r="E187" s="5">
        <v>16.39</v>
      </c>
      <c r="F187" s="6">
        <v>87974664</v>
      </c>
      <c r="G187" s="5">
        <f t="shared" si="16"/>
        <v>16.316666666666666</v>
      </c>
      <c r="H187" s="6">
        <f t="shared" si="17"/>
        <v>1435453267.5999999</v>
      </c>
      <c r="I187" s="6">
        <f t="shared" si="18"/>
        <v>0</v>
      </c>
      <c r="J187" s="6">
        <f t="shared" si="19"/>
        <v>1435453267.5999999</v>
      </c>
      <c r="K187" s="6">
        <f t="shared" si="20"/>
        <v>21995597152.106667</v>
      </c>
      <c r="L187" s="6">
        <f t="shared" si="21"/>
        <v>7475679059.8133335</v>
      </c>
      <c r="M187" s="5">
        <f t="shared" si="22"/>
        <v>2.9422875134310398</v>
      </c>
      <c r="N187" s="5">
        <f t="shared" si="23"/>
        <v>74.634016504552633</v>
      </c>
    </row>
    <row r="188" spans="1:14" x14ac:dyDescent="0.25">
      <c r="A188" s="7">
        <v>43749</v>
      </c>
      <c r="B188" s="5">
        <v>16.350000000000001</v>
      </c>
      <c r="C188" s="5">
        <v>17.100000000000001</v>
      </c>
      <c r="D188" s="5">
        <v>16.350000000000001</v>
      </c>
      <c r="E188" s="5">
        <v>16.96</v>
      </c>
      <c r="F188" s="6">
        <v>140542288</v>
      </c>
      <c r="G188" s="5">
        <f t="shared" si="16"/>
        <v>16.803333333333335</v>
      </c>
      <c r="H188" s="6">
        <f t="shared" si="17"/>
        <v>2361578912.6933336</v>
      </c>
      <c r="I188" s="6">
        <f t="shared" si="18"/>
        <v>2361578912.6933336</v>
      </c>
      <c r="J188" s="6">
        <f t="shared" si="19"/>
        <v>0</v>
      </c>
      <c r="K188" s="6">
        <f t="shared" si="20"/>
        <v>24357176064.799999</v>
      </c>
      <c r="L188" s="6">
        <f t="shared" si="21"/>
        <v>6111214362.3733349</v>
      </c>
      <c r="M188" s="5">
        <f t="shared" si="22"/>
        <v>3.9856523794627146</v>
      </c>
      <c r="N188" s="5">
        <f t="shared" si="23"/>
        <v>79.942444360555953</v>
      </c>
    </row>
    <row r="189" spans="1:14" x14ac:dyDescent="0.25">
      <c r="A189" s="7">
        <v>43752</v>
      </c>
      <c r="B189" s="5">
        <v>17.12</v>
      </c>
      <c r="C189" s="5">
        <v>17.75</v>
      </c>
      <c r="D189" s="5">
        <v>17.07</v>
      </c>
      <c r="E189" s="5">
        <v>17.37</v>
      </c>
      <c r="F189" s="6">
        <v>155763744</v>
      </c>
      <c r="G189" s="5">
        <f t="shared" si="16"/>
        <v>17.396666666666665</v>
      </c>
      <c r="H189" s="6">
        <f t="shared" si="17"/>
        <v>2709769933.1199999</v>
      </c>
      <c r="I189" s="6">
        <f t="shared" si="18"/>
        <v>2709769933.1199999</v>
      </c>
      <c r="J189" s="6">
        <f t="shared" si="19"/>
        <v>0</v>
      </c>
      <c r="K189" s="6">
        <f t="shared" si="20"/>
        <v>27066945997.919998</v>
      </c>
      <c r="L189" s="6">
        <f t="shared" si="21"/>
        <v>4836659444.9333344</v>
      </c>
      <c r="M189" s="5">
        <f t="shared" si="22"/>
        <v>5.5962067013575059</v>
      </c>
      <c r="N189" s="5">
        <f t="shared" si="23"/>
        <v>84.839771625194842</v>
      </c>
    </row>
    <row r="190" spans="1:14" x14ac:dyDescent="0.25">
      <c r="A190" s="7">
        <v>43753</v>
      </c>
      <c r="B190" s="5">
        <v>17.399999999999999</v>
      </c>
      <c r="C190" s="5">
        <v>17.5</v>
      </c>
      <c r="D190" s="5">
        <v>16.97</v>
      </c>
      <c r="E190" s="5">
        <v>17.329999999999998</v>
      </c>
      <c r="F190" s="6">
        <v>88195544</v>
      </c>
      <c r="G190" s="5">
        <f t="shared" si="16"/>
        <v>17.266666666666666</v>
      </c>
      <c r="H190" s="6">
        <f t="shared" si="17"/>
        <v>1522843059.7333333</v>
      </c>
      <c r="I190" s="6">
        <f t="shared" si="18"/>
        <v>0</v>
      </c>
      <c r="J190" s="6">
        <f t="shared" si="19"/>
        <v>1522843059.7333333</v>
      </c>
      <c r="K190" s="6">
        <f t="shared" si="20"/>
        <v>25875125503.73333</v>
      </c>
      <c r="L190" s="6">
        <f t="shared" si="21"/>
        <v>6359502504.6666679</v>
      </c>
      <c r="M190" s="5">
        <f t="shared" si="22"/>
        <v>4.0687342264187958</v>
      </c>
      <c r="N190" s="5">
        <f t="shared" si="23"/>
        <v>80.271208642428107</v>
      </c>
    </row>
    <row r="191" spans="1:14" x14ac:dyDescent="0.25">
      <c r="A191" s="7">
        <v>43754</v>
      </c>
      <c r="B191" s="5">
        <v>17.41</v>
      </c>
      <c r="C191" s="5">
        <v>17.59</v>
      </c>
      <c r="D191" s="5">
        <v>16.78</v>
      </c>
      <c r="E191" s="5">
        <v>16.940000000000001</v>
      </c>
      <c r="F191" s="6">
        <v>126767120</v>
      </c>
      <c r="G191" s="5">
        <f t="shared" si="16"/>
        <v>17.103333333333335</v>
      </c>
      <c r="H191" s="6">
        <f t="shared" si="17"/>
        <v>2168140309.0666671</v>
      </c>
      <c r="I191" s="6">
        <f t="shared" si="18"/>
        <v>0</v>
      </c>
      <c r="J191" s="6">
        <f t="shared" si="19"/>
        <v>2168140309.0666671</v>
      </c>
      <c r="K191" s="6">
        <f t="shared" si="20"/>
        <v>23070446539.466663</v>
      </c>
      <c r="L191" s="6">
        <f t="shared" si="21"/>
        <v>8527642813.7333355</v>
      </c>
      <c r="M191" s="5">
        <f t="shared" si="22"/>
        <v>2.705372052205667</v>
      </c>
      <c r="N191" s="5">
        <f t="shared" si="23"/>
        <v>73.012156784505947</v>
      </c>
    </row>
    <row r="192" spans="1:14" x14ac:dyDescent="0.25">
      <c r="A192" s="7">
        <v>43755</v>
      </c>
      <c r="B192" s="5">
        <v>17.05</v>
      </c>
      <c r="C192" s="5">
        <v>17.149999999999999</v>
      </c>
      <c r="D192" s="5">
        <v>16.7</v>
      </c>
      <c r="E192" s="5">
        <v>16.850000000000001</v>
      </c>
      <c r="F192" s="6">
        <v>112618224</v>
      </c>
      <c r="G192" s="5">
        <f t="shared" si="16"/>
        <v>16.899999999999999</v>
      </c>
      <c r="H192" s="6">
        <f t="shared" si="17"/>
        <v>1903247985.5999999</v>
      </c>
      <c r="I192" s="6">
        <f t="shared" si="18"/>
        <v>0</v>
      </c>
      <c r="J192" s="6">
        <f t="shared" si="19"/>
        <v>1903247985.5999999</v>
      </c>
      <c r="K192" s="6">
        <f t="shared" si="20"/>
        <v>19005298881.653332</v>
      </c>
      <c r="L192" s="6">
        <f t="shared" si="21"/>
        <v>10430890799.333336</v>
      </c>
      <c r="M192" s="5">
        <f t="shared" si="22"/>
        <v>1.8220206928892408</v>
      </c>
      <c r="N192" s="5">
        <f t="shared" si="23"/>
        <v>64.564398747332348</v>
      </c>
    </row>
    <row r="193" spans="1:14" x14ac:dyDescent="0.25">
      <c r="A193" s="7">
        <v>43756</v>
      </c>
      <c r="B193" s="5">
        <v>16.95</v>
      </c>
      <c r="C193" s="5">
        <v>17.190000000000001</v>
      </c>
      <c r="D193" s="5">
        <v>16.579999999999998</v>
      </c>
      <c r="E193" s="5">
        <v>16.66</v>
      </c>
      <c r="F193" s="6">
        <v>119679912</v>
      </c>
      <c r="G193" s="5">
        <f t="shared" si="16"/>
        <v>16.809999999999999</v>
      </c>
      <c r="H193" s="6">
        <f t="shared" si="17"/>
        <v>2011819320.7199998</v>
      </c>
      <c r="I193" s="6">
        <f t="shared" si="18"/>
        <v>0</v>
      </c>
      <c r="J193" s="6">
        <f t="shared" si="19"/>
        <v>2011819320.7199998</v>
      </c>
      <c r="K193" s="6">
        <f t="shared" si="20"/>
        <v>16831147426.933331</v>
      </c>
      <c r="L193" s="6">
        <f t="shared" si="21"/>
        <v>12442710120.053335</v>
      </c>
      <c r="M193" s="5">
        <f t="shared" si="22"/>
        <v>1.3526914365550762</v>
      </c>
      <c r="N193" s="5">
        <f t="shared" si="23"/>
        <v>57.495488593937843</v>
      </c>
    </row>
    <row r="194" spans="1:14" x14ac:dyDescent="0.25">
      <c r="A194" s="7">
        <v>43759</v>
      </c>
      <c r="B194" s="5">
        <v>16.579999999999998</v>
      </c>
      <c r="C194" s="5">
        <v>17.12</v>
      </c>
      <c r="D194" s="5">
        <v>16.579999999999998</v>
      </c>
      <c r="E194" s="5">
        <v>17.04</v>
      </c>
      <c r="F194" s="6">
        <v>94595224</v>
      </c>
      <c r="G194" s="5">
        <f t="shared" ref="G194:G252" si="24">(C194 + D194 + E194)/3</f>
        <v>16.913333333333334</v>
      </c>
      <c r="H194" s="6">
        <f t="shared" ref="H194:H252" si="25">G194*F194</f>
        <v>1599920555.2533333</v>
      </c>
      <c r="I194" s="6">
        <f t="shared" si="18"/>
        <v>1599920555.2533333</v>
      </c>
      <c r="J194" s="6">
        <f t="shared" si="19"/>
        <v>0</v>
      </c>
      <c r="K194" s="6">
        <f t="shared" si="20"/>
        <v>18431067982.186665</v>
      </c>
      <c r="L194" s="6">
        <f t="shared" si="21"/>
        <v>10698245676.053333</v>
      </c>
      <c r="M194" s="5">
        <f t="shared" si="22"/>
        <v>1.7228121825097245</v>
      </c>
      <c r="N194" s="5">
        <f t="shared" si="23"/>
        <v>63.273265544219058</v>
      </c>
    </row>
    <row r="195" spans="1:14" x14ac:dyDescent="0.25">
      <c r="A195" s="7">
        <v>43760</v>
      </c>
      <c r="B195" s="5">
        <v>17.059999999999999</v>
      </c>
      <c r="C195" s="5">
        <v>17.079999999999998</v>
      </c>
      <c r="D195" s="5">
        <v>16.18</v>
      </c>
      <c r="E195" s="5">
        <v>16.57</v>
      </c>
      <c r="F195" s="6">
        <v>188353136</v>
      </c>
      <c r="G195" s="5">
        <f t="shared" si="24"/>
        <v>16.61</v>
      </c>
      <c r="H195" s="6">
        <f t="shared" si="25"/>
        <v>3128545588.96</v>
      </c>
      <c r="I195" s="6">
        <f t="shared" ref="I195:I252" si="26">IF(G195&gt;G194,H195,0)</f>
        <v>0</v>
      </c>
      <c r="J195" s="6">
        <f t="shared" ref="J195:J252" si="27">IF(G195&lt;G194,H195,0)</f>
        <v>3128545588.96</v>
      </c>
      <c r="K195" s="6">
        <f t="shared" si="20"/>
        <v>15377958119.786667</v>
      </c>
      <c r="L195" s="6">
        <f t="shared" si="21"/>
        <v>13826791265.013332</v>
      </c>
      <c r="M195" s="5">
        <f t="shared" si="22"/>
        <v>1.1121855985993174</v>
      </c>
      <c r="N195" s="5">
        <f t="shared" si="23"/>
        <v>52.655675681950314</v>
      </c>
    </row>
    <row r="196" spans="1:14" x14ac:dyDescent="0.25">
      <c r="A196" s="7">
        <v>43761</v>
      </c>
      <c r="B196" s="5">
        <v>16.47</v>
      </c>
      <c r="C196" s="5">
        <v>16.82</v>
      </c>
      <c r="D196" s="5">
        <v>16.38</v>
      </c>
      <c r="E196" s="5">
        <v>16.600000000000001</v>
      </c>
      <c r="F196" s="6">
        <v>96753456</v>
      </c>
      <c r="G196" s="5">
        <f t="shared" si="24"/>
        <v>16.600000000000001</v>
      </c>
      <c r="H196" s="6">
        <f t="shared" si="25"/>
        <v>1606107369.6000001</v>
      </c>
      <c r="I196" s="6">
        <f t="shared" si="26"/>
        <v>0</v>
      </c>
      <c r="J196" s="6">
        <f t="shared" si="27"/>
        <v>1606107369.6000001</v>
      </c>
      <c r="K196" s="6">
        <f t="shared" si="20"/>
        <v>12687280661.440001</v>
      </c>
      <c r="L196" s="6">
        <f t="shared" si="21"/>
        <v>15432898634.613333</v>
      </c>
      <c r="M196" s="5">
        <f t="shared" si="22"/>
        <v>0.82209317651997116</v>
      </c>
      <c r="N196" s="5">
        <f t="shared" si="23"/>
        <v>45.118064603594689</v>
      </c>
    </row>
    <row r="197" spans="1:14" x14ac:dyDescent="0.25">
      <c r="A197" s="7">
        <v>43762</v>
      </c>
      <c r="B197" s="5">
        <v>16.649999999999999</v>
      </c>
      <c r="C197" s="5">
        <v>17.149999999999999</v>
      </c>
      <c r="D197" s="5">
        <v>16.59</v>
      </c>
      <c r="E197" s="5">
        <v>17.02</v>
      </c>
      <c r="F197" s="6">
        <v>110921480</v>
      </c>
      <c r="G197" s="5">
        <f t="shared" si="24"/>
        <v>16.919999999999998</v>
      </c>
      <c r="H197" s="6">
        <f t="shared" si="25"/>
        <v>1876791441.5999999</v>
      </c>
      <c r="I197" s="6">
        <f t="shared" si="26"/>
        <v>1876791441.5999999</v>
      </c>
      <c r="J197" s="6">
        <f t="shared" si="27"/>
        <v>0</v>
      </c>
      <c r="K197" s="6">
        <f t="shared" si="20"/>
        <v>12950062608.640001</v>
      </c>
      <c r="L197" s="6">
        <f t="shared" si="21"/>
        <v>15432898634.613333</v>
      </c>
      <c r="M197" s="5">
        <f t="shared" si="22"/>
        <v>0.83912056414309899</v>
      </c>
      <c r="N197" s="5">
        <f t="shared" si="23"/>
        <v>45.626185716327427</v>
      </c>
    </row>
    <row r="198" spans="1:14" x14ac:dyDescent="0.25">
      <c r="A198" s="7">
        <v>43763</v>
      </c>
      <c r="B198" s="5">
        <v>16.93</v>
      </c>
      <c r="C198" s="5">
        <v>17.11</v>
      </c>
      <c r="D198" s="5">
        <v>16.73</v>
      </c>
      <c r="E198" s="5">
        <v>17.03</v>
      </c>
      <c r="F198" s="6">
        <v>69143576</v>
      </c>
      <c r="G198" s="5">
        <f t="shared" si="24"/>
        <v>16.956666666666667</v>
      </c>
      <c r="H198" s="6">
        <f t="shared" si="25"/>
        <v>1172444570.3733335</v>
      </c>
      <c r="I198" s="6">
        <f t="shared" si="26"/>
        <v>1172444570.3733335</v>
      </c>
      <c r="J198" s="6">
        <f t="shared" si="27"/>
        <v>0</v>
      </c>
      <c r="K198" s="6">
        <f t="shared" si="20"/>
        <v>14122507179.013334</v>
      </c>
      <c r="L198" s="6">
        <f t="shared" si="21"/>
        <v>13776156901.280001</v>
      </c>
      <c r="M198" s="5">
        <f t="shared" si="22"/>
        <v>1.0251412843375174</v>
      </c>
      <c r="N198" s="5">
        <f t="shared" si="23"/>
        <v>50.620729144478972</v>
      </c>
    </row>
    <row r="199" spans="1:14" x14ac:dyDescent="0.25">
      <c r="A199" s="7">
        <v>43766</v>
      </c>
      <c r="B199" s="5">
        <v>17.13</v>
      </c>
      <c r="C199" s="5">
        <v>17.190000000000001</v>
      </c>
      <c r="D199" s="5">
        <v>16.63</v>
      </c>
      <c r="E199" s="5">
        <v>16.809999999999999</v>
      </c>
      <c r="F199" s="6">
        <v>107013112</v>
      </c>
      <c r="G199" s="5">
        <f t="shared" si="24"/>
        <v>16.876666666666665</v>
      </c>
      <c r="H199" s="6">
        <f t="shared" si="25"/>
        <v>1806024620.1866665</v>
      </c>
      <c r="I199" s="6">
        <f t="shared" si="26"/>
        <v>0</v>
      </c>
      <c r="J199" s="6">
        <f t="shared" si="27"/>
        <v>1806024620.1866665</v>
      </c>
      <c r="K199" s="6">
        <f t="shared" si="20"/>
        <v>11881638245.893333</v>
      </c>
      <c r="L199" s="6">
        <f t="shared" si="21"/>
        <v>15582181521.466667</v>
      </c>
      <c r="M199" s="5">
        <f t="shared" si="22"/>
        <v>0.76251442903066491</v>
      </c>
      <c r="N199" s="5">
        <f t="shared" si="23"/>
        <v>43.262875836428023</v>
      </c>
    </row>
    <row r="200" spans="1:14" x14ac:dyDescent="0.25">
      <c r="A200" s="7">
        <v>43767</v>
      </c>
      <c r="B200" s="5">
        <v>16.84</v>
      </c>
      <c r="C200" s="5">
        <v>17.079999999999998</v>
      </c>
      <c r="D200" s="5">
        <v>16.71</v>
      </c>
      <c r="E200" s="5">
        <v>17.059999999999999</v>
      </c>
      <c r="F200" s="6">
        <v>78886472</v>
      </c>
      <c r="G200" s="5">
        <f t="shared" si="24"/>
        <v>16.95</v>
      </c>
      <c r="H200" s="6">
        <f t="shared" si="25"/>
        <v>1337125700.3999999</v>
      </c>
      <c r="I200" s="6">
        <f t="shared" si="26"/>
        <v>1337125700.3999999</v>
      </c>
      <c r="J200" s="6">
        <f t="shared" si="27"/>
        <v>0</v>
      </c>
      <c r="K200" s="6">
        <f t="shared" si="20"/>
        <v>11057631113.439999</v>
      </c>
      <c r="L200" s="6">
        <f t="shared" si="21"/>
        <v>15582181521.466667</v>
      </c>
      <c r="M200" s="5">
        <f t="shared" si="22"/>
        <v>0.70963305736148319</v>
      </c>
      <c r="N200" s="5">
        <f t="shared" si="23"/>
        <v>41.507916234181657</v>
      </c>
    </row>
    <row r="201" spans="1:14" x14ac:dyDescent="0.25">
      <c r="A201" s="7">
        <v>43768</v>
      </c>
      <c r="B201" s="5">
        <v>16.95</v>
      </c>
      <c r="C201" s="5">
        <v>17.11</v>
      </c>
      <c r="D201" s="5">
        <v>16.57</v>
      </c>
      <c r="E201" s="5">
        <v>16.579999999999998</v>
      </c>
      <c r="F201" s="6">
        <v>85431720</v>
      </c>
      <c r="G201" s="5">
        <f t="shared" si="24"/>
        <v>16.753333333333334</v>
      </c>
      <c r="H201" s="6">
        <f t="shared" si="25"/>
        <v>1431266082.4000001</v>
      </c>
      <c r="I201" s="6">
        <f t="shared" si="26"/>
        <v>0</v>
      </c>
      <c r="J201" s="6">
        <f t="shared" si="27"/>
        <v>1431266082.4000001</v>
      </c>
      <c r="K201" s="6">
        <f t="shared" si="20"/>
        <v>11057631113.439999</v>
      </c>
      <c r="L201" s="6">
        <f t="shared" si="21"/>
        <v>15577994336.266665</v>
      </c>
      <c r="M201" s="5">
        <f t="shared" si="22"/>
        <v>0.70982379854234878</v>
      </c>
      <c r="N201" s="5">
        <f t="shared" si="23"/>
        <v>41.514441379719038</v>
      </c>
    </row>
    <row r="202" spans="1:14" x14ac:dyDescent="0.25">
      <c r="A202" s="7">
        <v>43769</v>
      </c>
      <c r="B202" s="5">
        <v>16.57</v>
      </c>
      <c r="C202" s="5">
        <v>16.62</v>
      </c>
      <c r="D202" s="5">
        <v>16.39</v>
      </c>
      <c r="E202" s="5">
        <v>16.41</v>
      </c>
      <c r="F202" s="6">
        <v>86256928</v>
      </c>
      <c r="G202" s="5">
        <f t="shared" si="24"/>
        <v>16.473333333333333</v>
      </c>
      <c r="H202" s="6">
        <f t="shared" si="25"/>
        <v>1420939127.2533333</v>
      </c>
      <c r="I202" s="6">
        <f t="shared" si="26"/>
        <v>0</v>
      </c>
      <c r="J202" s="6">
        <f t="shared" si="27"/>
        <v>1420939127.2533333</v>
      </c>
      <c r="K202" s="6">
        <f t="shared" si="20"/>
        <v>8696052200.746666</v>
      </c>
      <c r="L202" s="6">
        <f t="shared" si="21"/>
        <v>16998933463.519999</v>
      </c>
      <c r="M202" s="5">
        <f t="shared" si="22"/>
        <v>0.5115645766487964</v>
      </c>
      <c r="N202" s="5">
        <f t="shared" si="23"/>
        <v>33.84338218503089</v>
      </c>
    </row>
    <row r="203" spans="1:14" x14ac:dyDescent="0.25">
      <c r="A203" s="7">
        <v>43770</v>
      </c>
      <c r="B203" s="5">
        <v>16.5</v>
      </c>
      <c r="C203" s="5">
        <v>17.149999999999999</v>
      </c>
      <c r="D203" s="5">
        <v>16.43</v>
      </c>
      <c r="E203" s="5">
        <v>17.010000000000002</v>
      </c>
      <c r="F203" s="6">
        <v>125465544</v>
      </c>
      <c r="G203" s="5">
        <f t="shared" si="24"/>
        <v>16.863333333333333</v>
      </c>
      <c r="H203" s="6">
        <f t="shared" si="25"/>
        <v>2115767290.3199999</v>
      </c>
      <c r="I203" s="6">
        <f t="shared" si="26"/>
        <v>2115767290.3199999</v>
      </c>
      <c r="J203" s="6">
        <f t="shared" si="27"/>
        <v>0</v>
      </c>
      <c r="K203" s="6">
        <f t="shared" si="20"/>
        <v>8102049557.9466667</v>
      </c>
      <c r="L203" s="6">
        <f t="shared" si="21"/>
        <v>16998933463.519999</v>
      </c>
      <c r="M203" s="5">
        <f t="shared" si="22"/>
        <v>0.47662105245213199</v>
      </c>
      <c r="N203" s="5">
        <f t="shared" si="23"/>
        <v>32.277817769199302</v>
      </c>
    </row>
    <row r="204" spans="1:14" x14ac:dyDescent="0.25">
      <c r="A204" s="7">
        <v>43773</v>
      </c>
      <c r="B204" s="5">
        <v>17.13</v>
      </c>
      <c r="C204" s="5">
        <v>17.399999999999999</v>
      </c>
      <c r="D204" s="5">
        <v>16.920000000000002</v>
      </c>
      <c r="E204" s="5">
        <v>17.07</v>
      </c>
      <c r="F204" s="6">
        <v>88982424</v>
      </c>
      <c r="G204" s="5">
        <f t="shared" si="24"/>
        <v>17.13</v>
      </c>
      <c r="H204" s="6">
        <f t="shared" si="25"/>
        <v>1524268923.1199999</v>
      </c>
      <c r="I204" s="6">
        <f t="shared" si="26"/>
        <v>1524268923.1199999</v>
      </c>
      <c r="J204" s="6">
        <f t="shared" si="27"/>
        <v>0</v>
      </c>
      <c r="K204" s="6">
        <f t="shared" si="20"/>
        <v>9626318481.0666656</v>
      </c>
      <c r="L204" s="6">
        <f t="shared" si="21"/>
        <v>15476090403.786669</v>
      </c>
      <c r="M204" s="5">
        <f t="shared" si="22"/>
        <v>0.62201229315068562</v>
      </c>
      <c r="N204" s="5">
        <f t="shared" si="23"/>
        <v>38.348186125177563</v>
      </c>
    </row>
    <row r="205" spans="1:14" x14ac:dyDescent="0.25">
      <c r="A205" s="7">
        <v>43774</v>
      </c>
      <c r="B205" s="5">
        <v>16.95</v>
      </c>
      <c r="C205" s="5">
        <v>17.59</v>
      </c>
      <c r="D205" s="5">
        <v>16.940000000000001</v>
      </c>
      <c r="E205" s="5">
        <v>17.3</v>
      </c>
      <c r="F205" s="6">
        <v>117248592</v>
      </c>
      <c r="G205" s="5">
        <f t="shared" si="24"/>
        <v>17.276666666666667</v>
      </c>
      <c r="H205" s="6">
        <f t="shared" si="25"/>
        <v>2025664841.1200001</v>
      </c>
      <c r="I205" s="6">
        <f t="shared" si="26"/>
        <v>2025664841.1200001</v>
      </c>
      <c r="J205" s="6">
        <f t="shared" si="27"/>
        <v>0</v>
      </c>
      <c r="K205" s="6">
        <f t="shared" si="20"/>
        <v>11651983322.186666</v>
      </c>
      <c r="L205" s="6">
        <f t="shared" si="21"/>
        <v>13307950094.719999</v>
      </c>
      <c r="M205" s="5">
        <f t="shared" si="22"/>
        <v>0.87556560095680347</v>
      </c>
      <c r="N205" s="5">
        <f t="shared" si="23"/>
        <v>46.682750020054819</v>
      </c>
    </row>
    <row r="206" spans="1:14" x14ac:dyDescent="0.25">
      <c r="A206" s="7">
        <v>43775</v>
      </c>
      <c r="B206" s="5">
        <v>17.21</v>
      </c>
      <c r="C206" s="5">
        <v>17.41</v>
      </c>
      <c r="D206" s="5">
        <v>17.03</v>
      </c>
      <c r="E206" s="5">
        <v>17.11</v>
      </c>
      <c r="F206" s="6">
        <v>86332536</v>
      </c>
      <c r="G206" s="5">
        <f t="shared" si="24"/>
        <v>17.183333333333334</v>
      </c>
      <c r="H206" s="6">
        <f t="shared" si="25"/>
        <v>1483480743.5999999</v>
      </c>
      <c r="I206" s="6">
        <f t="shared" si="26"/>
        <v>0</v>
      </c>
      <c r="J206" s="6">
        <f t="shared" si="27"/>
        <v>1483480743.5999999</v>
      </c>
      <c r="K206" s="6">
        <f t="shared" si="20"/>
        <v>11651983322.186666</v>
      </c>
      <c r="L206" s="6">
        <f t="shared" si="21"/>
        <v>12888182852.720001</v>
      </c>
      <c r="M206" s="5">
        <f t="shared" si="22"/>
        <v>0.90408271323738709</v>
      </c>
      <c r="N206" s="5">
        <f t="shared" si="23"/>
        <v>47.481273106052967</v>
      </c>
    </row>
    <row r="207" spans="1:14" x14ac:dyDescent="0.25">
      <c r="A207" s="7">
        <v>43776</v>
      </c>
      <c r="B207" s="5">
        <v>17.079999999999998</v>
      </c>
      <c r="C207" s="5">
        <v>17.22</v>
      </c>
      <c r="D207" s="5">
        <v>16.899999999999999</v>
      </c>
      <c r="E207" s="5">
        <v>17.04</v>
      </c>
      <c r="F207" s="6">
        <v>71189696</v>
      </c>
      <c r="G207" s="5">
        <f t="shared" si="24"/>
        <v>17.053333333333331</v>
      </c>
      <c r="H207" s="6">
        <f t="shared" si="25"/>
        <v>1214021615.7866664</v>
      </c>
      <c r="I207" s="6">
        <f t="shared" si="26"/>
        <v>0</v>
      </c>
      <c r="J207" s="6">
        <f t="shared" si="27"/>
        <v>1214021615.7866664</v>
      </c>
      <c r="K207" s="6">
        <f t="shared" ref="K207:K252" si="28">SUM(I194:I207)</f>
        <v>11651983322.186666</v>
      </c>
      <c r="L207" s="6">
        <f t="shared" ref="L207:L252" si="29">SUM(J194:J207)</f>
        <v>12090385147.786669</v>
      </c>
      <c r="M207" s="5">
        <f t="shared" ref="M207:M252" si="30">K207/L207</f>
        <v>0.96373963110015082</v>
      </c>
      <c r="N207" s="5">
        <f t="shared" ref="N207:N252" si="31">100-(100/(1+M207))</f>
        <v>49.076752123204464</v>
      </c>
    </row>
    <row r="208" spans="1:14" x14ac:dyDescent="0.25">
      <c r="A208" s="7">
        <v>43777</v>
      </c>
      <c r="B208" s="5">
        <v>17.13</v>
      </c>
      <c r="C208" s="5">
        <v>17.170000000000002</v>
      </c>
      <c r="D208" s="5">
        <v>16.79</v>
      </c>
      <c r="E208" s="5">
        <v>16.8</v>
      </c>
      <c r="F208" s="6">
        <v>84913920</v>
      </c>
      <c r="G208" s="5">
        <f t="shared" si="24"/>
        <v>16.920000000000002</v>
      </c>
      <c r="H208" s="6">
        <f t="shared" si="25"/>
        <v>1436743526.4000001</v>
      </c>
      <c r="I208" s="6">
        <f t="shared" si="26"/>
        <v>0</v>
      </c>
      <c r="J208" s="6">
        <f t="shared" si="27"/>
        <v>1436743526.4000001</v>
      </c>
      <c r="K208" s="6">
        <f t="shared" si="28"/>
        <v>10052062766.933332</v>
      </c>
      <c r="L208" s="6">
        <f t="shared" si="29"/>
        <v>13527128674.186668</v>
      </c>
      <c r="M208" s="5">
        <f t="shared" si="30"/>
        <v>0.74310395125576956</v>
      </c>
      <c r="N208" s="5">
        <f t="shared" si="31"/>
        <v>42.631074912108453</v>
      </c>
    </row>
    <row r="209" spans="1:14" x14ac:dyDescent="0.25">
      <c r="A209" s="7">
        <v>43780</v>
      </c>
      <c r="B209" s="5">
        <v>16.649999999999999</v>
      </c>
      <c r="C209" s="5">
        <v>16.68</v>
      </c>
      <c r="D209" s="5">
        <v>16.350000000000001</v>
      </c>
      <c r="E209" s="5">
        <v>16.43</v>
      </c>
      <c r="F209" s="6">
        <v>95351560</v>
      </c>
      <c r="G209" s="5">
        <f t="shared" si="24"/>
        <v>16.486666666666668</v>
      </c>
      <c r="H209" s="6">
        <f t="shared" si="25"/>
        <v>1572029385.8666668</v>
      </c>
      <c r="I209" s="6">
        <f t="shared" si="26"/>
        <v>0</v>
      </c>
      <c r="J209" s="6">
        <f t="shared" si="27"/>
        <v>1572029385.8666668</v>
      </c>
      <c r="K209" s="6">
        <f t="shared" si="28"/>
        <v>10052062766.933332</v>
      </c>
      <c r="L209" s="6">
        <f t="shared" si="29"/>
        <v>11970612471.093332</v>
      </c>
      <c r="M209" s="5">
        <f t="shared" si="30"/>
        <v>0.83972835902983922</v>
      </c>
      <c r="N209" s="5">
        <f t="shared" si="31"/>
        <v>45.644149306512887</v>
      </c>
    </row>
    <row r="210" spans="1:14" x14ac:dyDescent="0.25">
      <c r="A210" s="7">
        <v>43781</v>
      </c>
      <c r="B210" s="5">
        <v>16.440000000000001</v>
      </c>
      <c r="C210" s="5">
        <v>16.52</v>
      </c>
      <c r="D210" s="5">
        <v>16.309999999999999</v>
      </c>
      <c r="E210" s="5">
        <v>16.48</v>
      </c>
      <c r="F210" s="6">
        <v>51626640</v>
      </c>
      <c r="G210" s="5">
        <f t="shared" si="24"/>
        <v>16.436666666666667</v>
      </c>
      <c r="H210" s="6">
        <f t="shared" si="25"/>
        <v>848569872.80000007</v>
      </c>
      <c r="I210" s="6">
        <f t="shared" si="26"/>
        <v>0</v>
      </c>
      <c r="J210" s="6">
        <f t="shared" si="27"/>
        <v>848569872.80000007</v>
      </c>
      <c r="K210" s="6">
        <f t="shared" si="28"/>
        <v>10052062766.933332</v>
      </c>
      <c r="L210" s="6">
        <f t="shared" si="29"/>
        <v>11213074974.293333</v>
      </c>
      <c r="M210" s="5">
        <f t="shared" si="30"/>
        <v>0.89645907032444783</v>
      </c>
      <c r="N210" s="5">
        <f t="shared" si="31"/>
        <v>47.270151217715487</v>
      </c>
    </row>
    <row r="211" spans="1:14" x14ac:dyDescent="0.25">
      <c r="A211" s="7">
        <v>43782</v>
      </c>
      <c r="B211" s="5">
        <v>16.440000000000001</v>
      </c>
      <c r="C211" s="5">
        <v>16.61</v>
      </c>
      <c r="D211" s="5">
        <v>16.21</v>
      </c>
      <c r="E211" s="5">
        <v>16.48</v>
      </c>
      <c r="F211" s="6">
        <v>65512064</v>
      </c>
      <c r="G211" s="5">
        <f t="shared" si="24"/>
        <v>16.433333333333334</v>
      </c>
      <c r="H211" s="6">
        <f t="shared" si="25"/>
        <v>1076581585.0666666</v>
      </c>
      <c r="I211" s="6">
        <f t="shared" si="26"/>
        <v>0</v>
      </c>
      <c r="J211" s="6">
        <f t="shared" si="27"/>
        <v>1076581585.0666666</v>
      </c>
      <c r="K211" s="6">
        <f t="shared" si="28"/>
        <v>8175271325.333333</v>
      </c>
      <c r="L211" s="6">
        <f t="shared" si="29"/>
        <v>12289656559.360001</v>
      </c>
      <c r="M211" s="5">
        <f t="shared" si="30"/>
        <v>0.66521560515919498</v>
      </c>
      <c r="N211" s="5">
        <f t="shared" si="31"/>
        <v>39.947716265582336</v>
      </c>
    </row>
    <row r="212" spans="1:14" x14ac:dyDescent="0.25">
      <c r="A212" s="7">
        <v>43783</v>
      </c>
      <c r="B212" s="5">
        <v>16.579999999999998</v>
      </c>
      <c r="C212" s="5">
        <v>16.63</v>
      </c>
      <c r="D212" s="5">
        <v>16.399999999999999</v>
      </c>
      <c r="E212" s="5">
        <v>16.47</v>
      </c>
      <c r="F212" s="6">
        <v>46889956</v>
      </c>
      <c r="G212" s="5">
        <f t="shared" si="24"/>
        <v>16.5</v>
      </c>
      <c r="H212" s="6">
        <f t="shared" si="25"/>
        <v>773684274</v>
      </c>
      <c r="I212" s="6">
        <f t="shared" si="26"/>
        <v>773684274</v>
      </c>
      <c r="J212" s="6">
        <f t="shared" si="27"/>
        <v>0</v>
      </c>
      <c r="K212" s="6">
        <f t="shared" si="28"/>
        <v>7776511028.96</v>
      </c>
      <c r="L212" s="6">
        <f t="shared" si="29"/>
        <v>12289656559.360001</v>
      </c>
      <c r="M212" s="5">
        <f t="shared" si="30"/>
        <v>0.63276878335849707</v>
      </c>
      <c r="N212" s="5">
        <f t="shared" si="31"/>
        <v>38.754341080488672</v>
      </c>
    </row>
    <row r="213" spans="1:14" x14ac:dyDescent="0.25">
      <c r="A213" s="7">
        <v>43784</v>
      </c>
      <c r="B213" s="5">
        <v>16.54</v>
      </c>
      <c r="C213" s="5">
        <v>16.7</v>
      </c>
      <c r="D213" s="5">
        <v>16.39</v>
      </c>
      <c r="E213" s="5">
        <v>16.489999999999998</v>
      </c>
      <c r="F213" s="6">
        <v>56922800</v>
      </c>
      <c r="G213" s="5">
        <f t="shared" si="24"/>
        <v>16.526666666666667</v>
      </c>
      <c r="H213" s="6">
        <f t="shared" si="25"/>
        <v>940744141.33333337</v>
      </c>
      <c r="I213" s="6">
        <f t="shared" si="26"/>
        <v>940744141.33333337</v>
      </c>
      <c r="J213" s="6">
        <f t="shared" si="27"/>
        <v>0</v>
      </c>
      <c r="K213" s="6">
        <f t="shared" si="28"/>
        <v>8717255170.2933331</v>
      </c>
      <c r="L213" s="6">
        <f t="shared" si="29"/>
        <v>10483631939.173332</v>
      </c>
      <c r="M213" s="5">
        <f t="shared" si="30"/>
        <v>0.83151098978592297</v>
      </c>
      <c r="N213" s="5">
        <f t="shared" si="31"/>
        <v>45.400273021736794</v>
      </c>
    </row>
    <row r="214" spans="1:14" x14ac:dyDescent="0.25">
      <c r="G214" s="5">
        <f t="shared" si="24"/>
        <v>0</v>
      </c>
      <c r="H214" s="6">
        <f t="shared" si="25"/>
        <v>0</v>
      </c>
      <c r="I214" s="6">
        <f t="shared" si="26"/>
        <v>0</v>
      </c>
      <c r="J214" s="6">
        <f t="shared" si="27"/>
        <v>0</v>
      </c>
      <c r="K214" s="6">
        <f t="shared" si="28"/>
        <v>7380129469.8933325</v>
      </c>
      <c r="L214" s="6">
        <f t="shared" si="29"/>
        <v>10483631939.173332</v>
      </c>
      <c r="M214" s="5">
        <f t="shared" si="30"/>
        <v>0.70396686117113716</v>
      </c>
      <c r="N214" s="5">
        <f t="shared" si="31"/>
        <v>41.313412673254717</v>
      </c>
    </row>
    <row r="215" spans="1:14" x14ac:dyDescent="0.25">
      <c r="G215" s="5">
        <f t="shared" si="24"/>
        <v>0</v>
      </c>
      <c r="H215" s="6">
        <f t="shared" si="25"/>
        <v>0</v>
      </c>
      <c r="I215" s="6">
        <f t="shared" si="26"/>
        <v>0</v>
      </c>
      <c r="J215" s="6">
        <f t="shared" si="27"/>
        <v>0</v>
      </c>
      <c r="K215" s="6">
        <f t="shared" si="28"/>
        <v>7380129469.8933325</v>
      </c>
      <c r="L215" s="6">
        <f t="shared" si="29"/>
        <v>9052365856.7733345</v>
      </c>
      <c r="M215" s="5">
        <f t="shared" si="30"/>
        <v>0.81527079071502961</v>
      </c>
      <c r="N215" s="5">
        <f t="shared" si="31"/>
        <v>44.911800205516279</v>
      </c>
    </row>
    <row r="216" spans="1:14" x14ac:dyDescent="0.25">
      <c r="G216" s="5">
        <f t="shared" si="24"/>
        <v>0</v>
      </c>
      <c r="H216" s="6">
        <f t="shared" si="25"/>
        <v>0</v>
      </c>
      <c r="I216" s="6">
        <f t="shared" si="26"/>
        <v>0</v>
      </c>
      <c r="J216" s="6">
        <f t="shared" si="27"/>
        <v>0</v>
      </c>
      <c r="K216" s="6">
        <f t="shared" si="28"/>
        <v>7380129469.8933325</v>
      </c>
      <c r="L216" s="6">
        <f t="shared" si="29"/>
        <v>7631426729.5200005</v>
      </c>
      <c r="M216" s="5">
        <f t="shared" si="30"/>
        <v>0.96707073676608912</v>
      </c>
      <c r="N216" s="5">
        <f t="shared" si="31"/>
        <v>49.162987313612135</v>
      </c>
    </row>
    <row r="217" spans="1:14" x14ac:dyDescent="0.25">
      <c r="G217" s="5">
        <f t="shared" si="24"/>
        <v>0</v>
      </c>
      <c r="H217" s="6">
        <f t="shared" si="25"/>
        <v>0</v>
      </c>
      <c r="I217" s="6">
        <f t="shared" si="26"/>
        <v>0</v>
      </c>
      <c r="J217" s="6">
        <f t="shared" si="27"/>
        <v>0</v>
      </c>
      <c r="K217" s="6">
        <f t="shared" si="28"/>
        <v>5264362179.5733328</v>
      </c>
      <c r="L217" s="6">
        <f t="shared" si="29"/>
        <v>7631426729.5200005</v>
      </c>
      <c r="M217" s="5">
        <f t="shared" si="30"/>
        <v>0.68982673439157149</v>
      </c>
      <c r="N217" s="5">
        <f t="shared" si="31"/>
        <v>40.82233523426568</v>
      </c>
    </row>
    <row r="218" spans="1:14" x14ac:dyDescent="0.25">
      <c r="G218" s="5">
        <f t="shared" si="24"/>
        <v>0</v>
      </c>
      <c r="H218" s="6">
        <f t="shared" si="25"/>
        <v>0</v>
      </c>
      <c r="I218" s="6">
        <f t="shared" si="26"/>
        <v>0</v>
      </c>
      <c r="J218" s="6">
        <f t="shared" si="27"/>
        <v>0</v>
      </c>
      <c r="K218" s="6">
        <f t="shared" si="28"/>
        <v>3740093256.4533334</v>
      </c>
      <c r="L218" s="6">
        <f t="shared" si="29"/>
        <v>7631426729.5200005</v>
      </c>
      <c r="M218" s="5">
        <f t="shared" si="30"/>
        <v>0.49009096057829499</v>
      </c>
      <c r="N218" s="5">
        <f t="shared" si="31"/>
        <v>32.890002928955013</v>
      </c>
    </row>
    <row r="219" spans="1:14" x14ac:dyDescent="0.25">
      <c r="G219" s="5">
        <f t="shared" si="24"/>
        <v>0</v>
      </c>
      <c r="H219" s="6">
        <f t="shared" si="25"/>
        <v>0</v>
      </c>
      <c r="I219" s="6">
        <f t="shared" si="26"/>
        <v>0</v>
      </c>
      <c r="J219" s="6">
        <f t="shared" si="27"/>
        <v>0</v>
      </c>
      <c r="K219" s="6">
        <f t="shared" si="28"/>
        <v>1714428415.3333335</v>
      </c>
      <c r="L219" s="6">
        <f t="shared" si="29"/>
        <v>7631426729.5200005</v>
      </c>
      <c r="M219" s="5">
        <f t="shared" si="30"/>
        <v>0.2246537215251711</v>
      </c>
      <c r="N219" s="5">
        <f t="shared" si="31"/>
        <v>18.344264797186071</v>
      </c>
    </row>
    <row r="220" spans="1:14" x14ac:dyDescent="0.25">
      <c r="G220" s="5">
        <f t="shared" si="24"/>
        <v>0</v>
      </c>
      <c r="H220" s="6">
        <f t="shared" si="25"/>
        <v>0</v>
      </c>
      <c r="I220" s="6">
        <f t="shared" si="26"/>
        <v>0</v>
      </c>
      <c r="J220" s="6">
        <f t="shared" si="27"/>
        <v>0</v>
      </c>
      <c r="K220" s="6">
        <f t="shared" si="28"/>
        <v>1714428415.3333335</v>
      </c>
      <c r="L220" s="6">
        <f t="shared" si="29"/>
        <v>6147945985.9200001</v>
      </c>
      <c r="M220" s="5">
        <f t="shared" si="30"/>
        <v>0.27886198402843976</v>
      </c>
      <c r="N220" s="5">
        <f t="shared" si="31"/>
        <v>21.805479208164357</v>
      </c>
    </row>
    <row r="221" spans="1:14" x14ac:dyDescent="0.25">
      <c r="G221" s="5">
        <f t="shared" si="24"/>
        <v>0</v>
      </c>
      <c r="H221" s="6">
        <f t="shared" si="25"/>
        <v>0</v>
      </c>
      <c r="I221" s="6">
        <f t="shared" si="26"/>
        <v>0</v>
      </c>
      <c r="J221" s="6">
        <f t="shared" si="27"/>
        <v>0</v>
      </c>
      <c r="K221" s="6">
        <f t="shared" si="28"/>
        <v>1714428415.3333335</v>
      </c>
      <c r="L221" s="6">
        <f t="shared" si="29"/>
        <v>4933924370.1333332</v>
      </c>
      <c r="M221" s="5">
        <f t="shared" si="30"/>
        <v>0.34747764390377212</v>
      </c>
      <c r="N221" s="5">
        <f t="shared" si="31"/>
        <v>25.787265968813855</v>
      </c>
    </row>
    <row r="222" spans="1:14" x14ac:dyDescent="0.25">
      <c r="G222" s="5">
        <f t="shared" si="24"/>
        <v>0</v>
      </c>
      <c r="H222" s="6">
        <f t="shared" si="25"/>
        <v>0</v>
      </c>
      <c r="I222" s="6">
        <f t="shared" si="26"/>
        <v>0</v>
      </c>
      <c r="J222" s="6">
        <f t="shared" si="27"/>
        <v>0</v>
      </c>
      <c r="K222" s="6">
        <f t="shared" si="28"/>
        <v>1714428415.3333335</v>
      </c>
      <c r="L222" s="6">
        <f t="shared" si="29"/>
        <v>3497180843.7333336</v>
      </c>
      <c r="M222" s="5">
        <f t="shared" si="30"/>
        <v>0.49023155848673117</v>
      </c>
      <c r="N222" s="5">
        <f t="shared" si="31"/>
        <v>32.8963345122379</v>
      </c>
    </row>
    <row r="223" spans="1:14" x14ac:dyDescent="0.25">
      <c r="G223" s="5">
        <f t="shared" si="24"/>
        <v>0</v>
      </c>
      <c r="H223" s="6">
        <f t="shared" si="25"/>
        <v>0</v>
      </c>
      <c r="I223" s="6">
        <f t="shared" si="26"/>
        <v>0</v>
      </c>
      <c r="J223" s="6">
        <f t="shared" si="27"/>
        <v>0</v>
      </c>
      <c r="K223" s="6">
        <f t="shared" si="28"/>
        <v>1714428415.3333335</v>
      </c>
      <c r="L223" s="6">
        <f t="shared" si="29"/>
        <v>1925151457.8666668</v>
      </c>
      <c r="M223" s="5">
        <f t="shared" si="30"/>
        <v>0.89054209648167448</v>
      </c>
      <c r="N223" s="5">
        <f t="shared" si="31"/>
        <v>47.105118586832106</v>
      </c>
    </row>
    <row r="224" spans="1:14" x14ac:dyDescent="0.25">
      <c r="G224" s="5">
        <f t="shared" si="24"/>
        <v>0</v>
      </c>
      <c r="H224" s="6">
        <f t="shared" si="25"/>
        <v>0</v>
      </c>
      <c r="I224" s="6">
        <f t="shared" si="26"/>
        <v>0</v>
      </c>
      <c r="J224" s="6">
        <f t="shared" si="27"/>
        <v>0</v>
      </c>
      <c r="K224" s="6">
        <f t="shared" si="28"/>
        <v>1714428415.3333335</v>
      </c>
      <c r="L224" s="6">
        <f t="shared" si="29"/>
        <v>1076581585.0666666</v>
      </c>
      <c r="M224" s="5">
        <f t="shared" si="30"/>
        <v>1.592474215716005</v>
      </c>
      <c r="N224" s="5">
        <f t="shared" si="31"/>
        <v>61.426810190132827</v>
      </c>
    </row>
    <row r="225" spans="7:14" x14ac:dyDescent="0.25">
      <c r="G225" s="5">
        <f t="shared" si="24"/>
        <v>0</v>
      </c>
      <c r="H225" s="6">
        <f t="shared" si="25"/>
        <v>0</v>
      </c>
      <c r="I225" s="6">
        <f t="shared" si="26"/>
        <v>0</v>
      </c>
      <c r="J225" s="6">
        <f t="shared" si="27"/>
        <v>0</v>
      </c>
      <c r="K225" s="6">
        <f t="shared" si="28"/>
        <v>1714428415.3333335</v>
      </c>
      <c r="L225" s="6">
        <f t="shared" si="29"/>
        <v>0</v>
      </c>
      <c r="M225" s="5" t="e">
        <f t="shared" si="30"/>
        <v>#DIV/0!</v>
      </c>
      <c r="N225" s="5" t="e">
        <f t="shared" si="31"/>
        <v>#DIV/0!</v>
      </c>
    </row>
    <row r="226" spans="7:14" x14ac:dyDescent="0.25">
      <c r="G226" s="5">
        <f t="shared" si="24"/>
        <v>0</v>
      </c>
      <c r="H226" s="6">
        <f t="shared" si="25"/>
        <v>0</v>
      </c>
      <c r="I226" s="6">
        <f t="shared" si="26"/>
        <v>0</v>
      </c>
      <c r="J226" s="6">
        <f t="shared" si="27"/>
        <v>0</v>
      </c>
      <c r="K226" s="6">
        <f t="shared" si="28"/>
        <v>940744141.33333337</v>
      </c>
      <c r="L226" s="6">
        <f t="shared" si="29"/>
        <v>0</v>
      </c>
      <c r="M226" s="5" t="e">
        <f t="shared" si="30"/>
        <v>#DIV/0!</v>
      </c>
      <c r="N226" s="5" t="e">
        <f t="shared" si="31"/>
        <v>#DIV/0!</v>
      </c>
    </row>
    <row r="227" spans="7:14" x14ac:dyDescent="0.25">
      <c r="G227" s="5">
        <f t="shared" si="24"/>
        <v>0</v>
      </c>
      <c r="H227" s="6">
        <f t="shared" si="25"/>
        <v>0</v>
      </c>
      <c r="I227" s="6">
        <f t="shared" si="26"/>
        <v>0</v>
      </c>
      <c r="J227" s="6">
        <f t="shared" si="27"/>
        <v>0</v>
      </c>
      <c r="K227" s="6">
        <f t="shared" si="28"/>
        <v>0</v>
      </c>
      <c r="L227" s="6">
        <f t="shared" si="29"/>
        <v>0</v>
      </c>
      <c r="M227" s="5" t="e">
        <f t="shared" si="30"/>
        <v>#DIV/0!</v>
      </c>
      <c r="N227" s="5" t="e">
        <f t="shared" si="31"/>
        <v>#DIV/0!</v>
      </c>
    </row>
    <row r="228" spans="7:14" x14ac:dyDescent="0.25">
      <c r="G228" s="5">
        <f t="shared" si="24"/>
        <v>0</v>
      </c>
      <c r="H228" s="6">
        <f t="shared" si="25"/>
        <v>0</v>
      </c>
      <c r="I228" s="6">
        <f t="shared" si="26"/>
        <v>0</v>
      </c>
      <c r="J228" s="6">
        <f t="shared" si="27"/>
        <v>0</v>
      </c>
      <c r="K228" s="6">
        <f t="shared" si="28"/>
        <v>0</v>
      </c>
      <c r="L228" s="6">
        <f t="shared" si="29"/>
        <v>0</v>
      </c>
      <c r="M228" s="5" t="e">
        <f t="shared" si="30"/>
        <v>#DIV/0!</v>
      </c>
      <c r="N228" s="5" t="e">
        <f t="shared" si="31"/>
        <v>#DIV/0!</v>
      </c>
    </row>
    <row r="229" spans="7:14" x14ac:dyDescent="0.25">
      <c r="G229" s="5">
        <f t="shared" si="24"/>
        <v>0</v>
      </c>
      <c r="H229" s="6">
        <f t="shared" si="25"/>
        <v>0</v>
      </c>
      <c r="I229" s="6">
        <f t="shared" si="26"/>
        <v>0</v>
      </c>
      <c r="J229" s="6">
        <f t="shared" si="27"/>
        <v>0</v>
      </c>
      <c r="K229" s="6">
        <f t="shared" si="28"/>
        <v>0</v>
      </c>
      <c r="L229" s="6">
        <f t="shared" si="29"/>
        <v>0</v>
      </c>
      <c r="M229" s="5" t="e">
        <f t="shared" si="30"/>
        <v>#DIV/0!</v>
      </c>
      <c r="N229" s="5" t="e">
        <f t="shared" si="31"/>
        <v>#DIV/0!</v>
      </c>
    </row>
    <row r="230" spans="7:14" x14ac:dyDescent="0.25">
      <c r="G230" s="5">
        <f t="shared" si="24"/>
        <v>0</v>
      </c>
      <c r="H230" s="6">
        <f t="shared" si="25"/>
        <v>0</v>
      </c>
      <c r="I230" s="6">
        <f t="shared" si="26"/>
        <v>0</v>
      </c>
      <c r="J230" s="6">
        <f t="shared" si="27"/>
        <v>0</v>
      </c>
      <c r="K230" s="6">
        <f t="shared" si="28"/>
        <v>0</v>
      </c>
      <c r="L230" s="6">
        <f t="shared" si="29"/>
        <v>0</v>
      </c>
      <c r="M230" s="5" t="e">
        <f t="shared" si="30"/>
        <v>#DIV/0!</v>
      </c>
      <c r="N230" s="5" t="e">
        <f t="shared" si="31"/>
        <v>#DIV/0!</v>
      </c>
    </row>
    <row r="231" spans="7:14" x14ac:dyDescent="0.25">
      <c r="G231" s="5">
        <f t="shared" si="24"/>
        <v>0</v>
      </c>
      <c r="H231" s="6">
        <f t="shared" si="25"/>
        <v>0</v>
      </c>
      <c r="I231" s="6">
        <f t="shared" si="26"/>
        <v>0</v>
      </c>
      <c r="J231" s="6">
        <f t="shared" si="27"/>
        <v>0</v>
      </c>
      <c r="K231" s="6">
        <f t="shared" si="28"/>
        <v>0</v>
      </c>
      <c r="L231" s="6">
        <f t="shared" si="29"/>
        <v>0</v>
      </c>
      <c r="M231" s="5" t="e">
        <f t="shared" si="30"/>
        <v>#DIV/0!</v>
      </c>
      <c r="N231" s="5" t="e">
        <f t="shared" si="31"/>
        <v>#DIV/0!</v>
      </c>
    </row>
    <row r="232" spans="7:14" x14ac:dyDescent="0.25">
      <c r="G232" s="5">
        <f t="shared" si="24"/>
        <v>0</v>
      </c>
      <c r="H232" s="6">
        <f t="shared" si="25"/>
        <v>0</v>
      </c>
      <c r="I232" s="6">
        <f t="shared" si="26"/>
        <v>0</v>
      </c>
      <c r="J232" s="6">
        <f t="shared" si="27"/>
        <v>0</v>
      </c>
      <c r="K232" s="6">
        <f t="shared" si="28"/>
        <v>0</v>
      </c>
      <c r="L232" s="6">
        <f t="shared" si="29"/>
        <v>0</v>
      </c>
      <c r="M232" s="5" t="e">
        <f t="shared" si="30"/>
        <v>#DIV/0!</v>
      </c>
      <c r="N232" s="5" t="e">
        <f t="shared" si="31"/>
        <v>#DIV/0!</v>
      </c>
    </row>
    <row r="233" spans="7:14" x14ac:dyDescent="0.25">
      <c r="G233" s="5">
        <f t="shared" si="24"/>
        <v>0</v>
      </c>
      <c r="H233" s="6">
        <f t="shared" si="25"/>
        <v>0</v>
      </c>
      <c r="I233" s="6">
        <f t="shared" si="26"/>
        <v>0</v>
      </c>
      <c r="J233" s="6">
        <f t="shared" si="27"/>
        <v>0</v>
      </c>
      <c r="K233" s="6">
        <f t="shared" si="28"/>
        <v>0</v>
      </c>
      <c r="L233" s="6">
        <f t="shared" si="29"/>
        <v>0</v>
      </c>
      <c r="M233" s="5" t="e">
        <f t="shared" si="30"/>
        <v>#DIV/0!</v>
      </c>
      <c r="N233" s="5" t="e">
        <f t="shared" si="31"/>
        <v>#DIV/0!</v>
      </c>
    </row>
    <row r="234" spans="7:14" x14ac:dyDescent="0.25">
      <c r="G234" s="5">
        <f t="shared" si="24"/>
        <v>0</v>
      </c>
      <c r="H234" s="6">
        <f t="shared" si="25"/>
        <v>0</v>
      </c>
      <c r="I234" s="6">
        <f t="shared" si="26"/>
        <v>0</v>
      </c>
      <c r="J234" s="6">
        <f t="shared" si="27"/>
        <v>0</v>
      </c>
      <c r="K234" s="6">
        <f t="shared" si="28"/>
        <v>0</v>
      </c>
      <c r="L234" s="6">
        <f t="shared" si="29"/>
        <v>0</v>
      </c>
      <c r="M234" s="5" t="e">
        <f t="shared" si="30"/>
        <v>#DIV/0!</v>
      </c>
      <c r="N234" s="5" t="e">
        <f t="shared" si="31"/>
        <v>#DIV/0!</v>
      </c>
    </row>
    <row r="235" spans="7:14" x14ac:dyDescent="0.25">
      <c r="G235" s="5">
        <f t="shared" si="24"/>
        <v>0</v>
      </c>
      <c r="H235" s="6">
        <f t="shared" si="25"/>
        <v>0</v>
      </c>
      <c r="I235" s="6">
        <f t="shared" si="26"/>
        <v>0</v>
      </c>
      <c r="J235" s="6">
        <f t="shared" si="27"/>
        <v>0</v>
      </c>
      <c r="K235" s="6">
        <f t="shared" si="28"/>
        <v>0</v>
      </c>
      <c r="L235" s="6">
        <f t="shared" si="29"/>
        <v>0</v>
      </c>
      <c r="M235" s="5" t="e">
        <f t="shared" si="30"/>
        <v>#DIV/0!</v>
      </c>
      <c r="N235" s="5" t="e">
        <f t="shared" si="31"/>
        <v>#DIV/0!</v>
      </c>
    </row>
    <row r="236" spans="7:14" x14ac:dyDescent="0.25">
      <c r="G236" s="5">
        <f t="shared" si="24"/>
        <v>0</v>
      </c>
      <c r="H236" s="6">
        <f t="shared" si="25"/>
        <v>0</v>
      </c>
      <c r="I236" s="6">
        <f t="shared" si="26"/>
        <v>0</v>
      </c>
      <c r="J236" s="6">
        <f t="shared" si="27"/>
        <v>0</v>
      </c>
      <c r="K236" s="6">
        <f t="shared" si="28"/>
        <v>0</v>
      </c>
      <c r="L236" s="6">
        <f t="shared" si="29"/>
        <v>0</v>
      </c>
      <c r="M236" s="5" t="e">
        <f t="shared" si="30"/>
        <v>#DIV/0!</v>
      </c>
      <c r="N236" s="5" t="e">
        <f t="shared" si="31"/>
        <v>#DIV/0!</v>
      </c>
    </row>
    <row r="237" spans="7:14" x14ac:dyDescent="0.25">
      <c r="G237" s="5">
        <f t="shared" si="24"/>
        <v>0</v>
      </c>
      <c r="H237" s="6">
        <f t="shared" si="25"/>
        <v>0</v>
      </c>
      <c r="I237" s="6">
        <f t="shared" si="26"/>
        <v>0</v>
      </c>
      <c r="J237" s="6">
        <f t="shared" si="27"/>
        <v>0</v>
      </c>
      <c r="K237" s="6">
        <f t="shared" si="28"/>
        <v>0</v>
      </c>
      <c r="L237" s="6">
        <f t="shared" si="29"/>
        <v>0</v>
      </c>
      <c r="M237" s="5" t="e">
        <f t="shared" si="30"/>
        <v>#DIV/0!</v>
      </c>
      <c r="N237" s="5" t="e">
        <f t="shared" si="31"/>
        <v>#DIV/0!</v>
      </c>
    </row>
    <row r="238" spans="7:14" x14ac:dyDescent="0.25">
      <c r="G238" s="5">
        <f t="shared" si="24"/>
        <v>0</v>
      </c>
      <c r="H238" s="6">
        <f t="shared" si="25"/>
        <v>0</v>
      </c>
      <c r="I238" s="6">
        <f t="shared" si="26"/>
        <v>0</v>
      </c>
      <c r="J238" s="6">
        <f t="shared" si="27"/>
        <v>0</v>
      </c>
      <c r="K238" s="6">
        <f t="shared" si="28"/>
        <v>0</v>
      </c>
      <c r="L238" s="6">
        <f t="shared" si="29"/>
        <v>0</v>
      </c>
      <c r="M238" s="5" t="e">
        <f t="shared" si="30"/>
        <v>#DIV/0!</v>
      </c>
      <c r="N238" s="5" t="e">
        <f t="shared" si="31"/>
        <v>#DIV/0!</v>
      </c>
    </row>
    <row r="239" spans="7:14" x14ac:dyDescent="0.25">
      <c r="G239" s="5">
        <f t="shared" si="24"/>
        <v>0</v>
      </c>
      <c r="H239" s="6">
        <f t="shared" si="25"/>
        <v>0</v>
      </c>
      <c r="I239" s="6">
        <f t="shared" si="26"/>
        <v>0</v>
      </c>
      <c r="J239" s="6">
        <f t="shared" si="27"/>
        <v>0</v>
      </c>
      <c r="K239" s="6">
        <f t="shared" si="28"/>
        <v>0</v>
      </c>
      <c r="L239" s="6">
        <f t="shared" si="29"/>
        <v>0</v>
      </c>
      <c r="M239" s="5" t="e">
        <f t="shared" si="30"/>
        <v>#DIV/0!</v>
      </c>
      <c r="N239" s="5" t="e">
        <f t="shared" si="31"/>
        <v>#DIV/0!</v>
      </c>
    </row>
    <row r="240" spans="7:14" x14ac:dyDescent="0.25">
      <c r="G240" s="5">
        <f t="shared" si="24"/>
        <v>0</v>
      </c>
      <c r="H240" s="6">
        <f t="shared" si="25"/>
        <v>0</v>
      </c>
      <c r="I240" s="6">
        <f t="shared" si="26"/>
        <v>0</v>
      </c>
      <c r="J240" s="6">
        <f t="shared" si="27"/>
        <v>0</v>
      </c>
      <c r="K240" s="6">
        <f t="shared" si="28"/>
        <v>0</v>
      </c>
      <c r="L240" s="6">
        <f t="shared" si="29"/>
        <v>0</v>
      </c>
      <c r="M240" s="5" t="e">
        <f t="shared" si="30"/>
        <v>#DIV/0!</v>
      </c>
      <c r="N240" s="5" t="e">
        <f t="shared" si="31"/>
        <v>#DIV/0!</v>
      </c>
    </row>
    <row r="241" spans="7:14" x14ac:dyDescent="0.25">
      <c r="G241" s="5">
        <f t="shared" si="24"/>
        <v>0</v>
      </c>
      <c r="H241" s="6">
        <f t="shared" si="25"/>
        <v>0</v>
      </c>
      <c r="I241" s="6">
        <f t="shared" si="26"/>
        <v>0</v>
      </c>
      <c r="J241" s="6">
        <f t="shared" si="27"/>
        <v>0</v>
      </c>
      <c r="K241" s="6">
        <f t="shared" si="28"/>
        <v>0</v>
      </c>
      <c r="L241" s="6">
        <f t="shared" si="29"/>
        <v>0</v>
      </c>
      <c r="M241" s="5" t="e">
        <f t="shared" si="30"/>
        <v>#DIV/0!</v>
      </c>
      <c r="N241" s="5" t="e">
        <f t="shared" si="31"/>
        <v>#DIV/0!</v>
      </c>
    </row>
    <row r="242" spans="7:14" x14ac:dyDescent="0.25">
      <c r="G242" s="5">
        <f t="shared" si="24"/>
        <v>0</v>
      </c>
      <c r="H242" s="6">
        <f t="shared" si="25"/>
        <v>0</v>
      </c>
      <c r="I242" s="6">
        <f t="shared" si="26"/>
        <v>0</v>
      </c>
      <c r="J242" s="6">
        <f t="shared" si="27"/>
        <v>0</v>
      </c>
      <c r="K242" s="6">
        <f t="shared" si="28"/>
        <v>0</v>
      </c>
      <c r="L242" s="6">
        <f t="shared" si="29"/>
        <v>0</v>
      </c>
      <c r="M242" s="5" t="e">
        <f t="shared" si="30"/>
        <v>#DIV/0!</v>
      </c>
      <c r="N242" s="5" t="e">
        <f t="shared" si="31"/>
        <v>#DIV/0!</v>
      </c>
    </row>
    <row r="243" spans="7:14" x14ac:dyDescent="0.25">
      <c r="G243" s="5">
        <f t="shared" si="24"/>
        <v>0</v>
      </c>
      <c r="H243" s="6">
        <f t="shared" si="25"/>
        <v>0</v>
      </c>
      <c r="I243" s="6">
        <f t="shared" si="26"/>
        <v>0</v>
      </c>
      <c r="J243" s="6">
        <f t="shared" si="27"/>
        <v>0</v>
      </c>
      <c r="K243" s="6">
        <f t="shared" si="28"/>
        <v>0</v>
      </c>
      <c r="L243" s="6">
        <f t="shared" si="29"/>
        <v>0</v>
      </c>
      <c r="M243" s="5" t="e">
        <f t="shared" si="30"/>
        <v>#DIV/0!</v>
      </c>
      <c r="N243" s="5" t="e">
        <f t="shared" si="31"/>
        <v>#DIV/0!</v>
      </c>
    </row>
    <row r="244" spans="7:14" x14ac:dyDescent="0.25">
      <c r="G244" s="5">
        <f t="shared" si="24"/>
        <v>0</v>
      </c>
      <c r="H244" s="6">
        <f t="shared" si="25"/>
        <v>0</v>
      </c>
      <c r="I244" s="6">
        <f t="shared" si="26"/>
        <v>0</v>
      </c>
      <c r="J244" s="6">
        <f t="shared" si="27"/>
        <v>0</v>
      </c>
      <c r="K244" s="6">
        <f t="shared" si="28"/>
        <v>0</v>
      </c>
      <c r="L244" s="6">
        <f t="shared" si="29"/>
        <v>0</v>
      </c>
      <c r="M244" s="5" t="e">
        <f t="shared" si="30"/>
        <v>#DIV/0!</v>
      </c>
      <c r="N244" s="5" t="e">
        <f t="shared" si="31"/>
        <v>#DIV/0!</v>
      </c>
    </row>
    <row r="245" spans="7:14" x14ac:dyDescent="0.25">
      <c r="G245" s="5">
        <f t="shared" si="24"/>
        <v>0</v>
      </c>
      <c r="H245" s="6">
        <f t="shared" si="25"/>
        <v>0</v>
      </c>
      <c r="I245" s="6">
        <f t="shared" si="26"/>
        <v>0</v>
      </c>
      <c r="J245" s="6">
        <f t="shared" si="27"/>
        <v>0</v>
      </c>
      <c r="K245" s="6">
        <f t="shared" si="28"/>
        <v>0</v>
      </c>
      <c r="L245" s="6">
        <f t="shared" si="29"/>
        <v>0</v>
      </c>
      <c r="M245" s="5" t="e">
        <f t="shared" si="30"/>
        <v>#DIV/0!</v>
      </c>
      <c r="N245" s="5" t="e">
        <f t="shared" si="31"/>
        <v>#DIV/0!</v>
      </c>
    </row>
    <row r="246" spans="7:14" x14ac:dyDescent="0.25">
      <c r="G246" s="5">
        <f t="shared" si="24"/>
        <v>0</v>
      </c>
      <c r="H246" s="6">
        <f t="shared" si="25"/>
        <v>0</v>
      </c>
      <c r="I246" s="6">
        <f t="shared" si="26"/>
        <v>0</v>
      </c>
      <c r="J246" s="6">
        <f t="shared" si="27"/>
        <v>0</v>
      </c>
      <c r="K246" s="6">
        <f t="shared" si="28"/>
        <v>0</v>
      </c>
      <c r="L246" s="6">
        <f t="shared" si="29"/>
        <v>0</v>
      </c>
      <c r="M246" s="5" t="e">
        <f t="shared" si="30"/>
        <v>#DIV/0!</v>
      </c>
      <c r="N246" s="5" t="e">
        <f t="shared" si="31"/>
        <v>#DIV/0!</v>
      </c>
    </row>
    <row r="247" spans="7:14" x14ac:dyDescent="0.25">
      <c r="G247" s="5">
        <f t="shared" si="24"/>
        <v>0</v>
      </c>
      <c r="H247" s="6">
        <f t="shared" si="25"/>
        <v>0</v>
      </c>
      <c r="I247" s="6">
        <f t="shared" si="26"/>
        <v>0</v>
      </c>
      <c r="J247" s="6">
        <f t="shared" si="27"/>
        <v>0</v>
      </c>
      <c r="K247" s="6">
        <f t="shared" si="28"/>
        <v>0</v>
      </c>
      <c r="L247" s="6">
        <f t="shared" si="29"/>
        <v>0</v>
      </c>
      <c r="M247" s="5" t="e">
        <f t="shared" si="30"/>
        <v>#DIV/0!</v>
      </c>
      <c r="N247" s="5" t="e">
        <f t="shared" si="31"/>
        <v>#DIV/0!</v>
      </c>
    </row>
    <row r="248" spans="7:14" x14ac:dyDescent="0.25">
      <c r="G248" s="5">
        <f t="shared" si="24"/>
        <v>0</v>
      </c>
      <c r="H248" s="6">
        <f t="shared" si="25"/>
        <v>0</v>
      </c>
      <c r="I248" s="6">
        <f t="shared" si="26"/>
        <v>0</v>
      </c>
      <c r="J248" s="6">
        <f t="shared" si="27"/>
        <v>0</v>
      </c>
      <c r="K248" s="6">
        <f t="shared" si="28"/>
        <v>0</v>
      </c>
      <c r="L248" s="6">
        <f t="shared" si="29"/>
        <v>0</v>
      </c>
      <c r="M248" s="5" t="e">
        <f t="shared" si="30"/>
        <v>#DIV/0!</v>
      </c>
      <c r="N248" s="5" t="e">
        <f t="shared" si="31"/>
        <v>#DIV/0!</v>
      </c>
    </row>
    <row r="249" spans="7:14" x14ac:dyDescent="0.25">
      <c r="G249" s="5">
        <f t="shared" si="24"/>
        <v>0</v>
      </c>
      <c r="H249" s="6">
        <f t="shared" si="25"/>
        <v>0</v>
      </c>
      <c r="I249" s="6">
        <f t="shared" si="26"/>
        <v>0</v>
      </c>
      <c r="J249" s="6">
        <f t="shared" si="27"/>
        <v>0</v>
      </c>
      <c r="K249" s="6">
        <f t="shared" si="28"/>
        <v>0</v>
      </c>
      <c r="L249" s="6">
        <f t="shared" si="29"/>
        <v>0</v>
      </c>
      <c r="M249" s="5" t="e">
        <f t="shared" si="30"/>
        <v>#DIV/0!</v>
      </c>
      <c r="N249" s="5" t="e">
        <f t="shared" si="31"/>
        <v>#DIV/0!</v>
      </c>
    </row>
    <row r="250" spans="7:14" x14ac:dyDescent="0.25">
      <c r="G250" s="5">
        <f t="shared" si="24"/>
        <v>0</v>
      </c>
      <c r="H250" s="6">
        <f t="shared" si="25"/>
        <v>0</v>
      </c>
      <c r="I250" s="6">
        <f t="shared" si="26"/>
        <v>0</v>
      </c>
      <c r="J250" s="6">
        <f t="shared" si="27"/>
        <v>0</v>
      </c>
      <c r="K250" s="6">
        <f t="shared" si="28"/>
        <v>0</v>
      </c>
      <c r="L250" s="6">
        <f t="shared" si="29"/>
        <v>0</v>
      </c>
      <c r="M250" s="5" t="e">
        <f t="shared" si="30"/>
        <v>#DIV/0!</v>
      </c>
      <c r="N250" s="5" t="e">
        <f t="shared" si="31"/>
        <v>#DIV/0!</v>
      </c>
    </row>
    <row r="251" spans="7:14" x14ac:dyDescent="0.25">
      <c r="G251" s="5">
        <f t="shared" si="24"/>
        <v>0</v>
      </c>
      <c r="H251" s="6">
        <f t="shared" si="25"/>
        <v>0</v>
      </c>
      <c r="I251" s="6">
        <f t="shared" si="26"/>
        <v>0</v>
      </c>
      <c r="J251" s="6">
        <f t="shared" si="27"/>
        <v>0</v>
      </c>
      <c r="K251" s="6">
        <f t="shared" si="28"/>
        <v>0</v>
      </c>
      <c r="L251" s="6">
        <f t="shared" si="29"/>
        <v>0</v>
      </c>
      <c r="M251" s="5" t="e">
        <f t="shared" si="30"/>
        <v>#DIV/0!</v>
      </c>
      <c r="N251" s="5" t="e">
        <f t="shared" si="31"/>
        <v>#DIV/0!</v>
      </c>
    </row>
    <row r="252" spans="7:14" x14ac:dyDescent="0.25">
      <c r="G252" s="5">
        <f t="shared" si="24"/>
        <v>0</v>
      </c>
      <c r="H252" s="6">
        <f t="shared" si="25"/>
        <v>0</v>
      </c>
      <c r="I252" s="6">
        <f t="shared" si="26"/>
        <v>0</v>
      </c>
      <c r="J252" s="6">
        <f t="shared" si="27"/>
        <v>0</v>
      </c>
      <c r="K252" s="6">
        <f t="shared" si="28"/>
        <v>0</v>
      </c>
      <c r="L252" s="6">
        <f t="shared" si="29"/>
        <v>0</v>
      </c>
      <c r="M252" s="5" t="e">
        <f t="shared" si="30"/>
        <v>#DIV/0!</v>
      </c>
      <c r="N252" s="5" t="e">
        <f t="shared" si="31"/>
        <v>#DIV/0!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7" sqref="R17"/>
    </sheetView>
  </sheetViews>
  <sheetFormatPr defaultColWidth="8.6640625" defaultRowHeight="14.4" x14ac:dyDescent="0.25"/>
  <cols>
    <col min="1" max="16384" width="8.6640625" style="19"/>
  </cols>
  <sheetData/>
  <phoneticPr fontId="4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190</vt:i4>
      </vt:variant>
    </vt:vector>
  </HeadingPairs>
  <TitlesOfParts>
    <vt:vector size="193" baseType="lpstr">
      <vt:lpstr>参数Parameters</vt:lpstr>
      <vt:lpstr>数据Data</vt:lpstr>
      <vt:lpstr>说明Memo</vt:lpstr>
      <vt:lpstr>数据Data!ExternalData_1</vt:lpstr>
      <vt:lpstr>数据Data!ExternalData_10</vt:lpstr>
      <vt:lpstr>数据Data!ExternalData_11</vt:lpstr>
      <vt:lpstr>数据Data!ExternalData_12</vt:lpstr>
      <vt:lpstr>数据Data!ExternalData_13</vt:lpstr>
      <vt:lpstr>数据Data!ExternalData_138</vt:lpstr>
      <vt:lpstr>数据Data!ExternalData_139</vt:lpstr>
      <vt:lpstr>数据Data!ExternalData_14</vt:lpstr>
      <vt:lpstr>数据Data!ExternalData_140</vt:lpstr>
      <vt:lpstr>数据Data!ExternalData_141</vt:lpstr>
      <vt:lpstr>数据Data!ExternalData_142</vt:lpstr>
      <vt:lpstr>数据Data!ExternalData_143</vt:lpstr>
      <vt:lpstr>数据Data!ExternalData_144</vt:lpstr>
      <vt:lpstr>数据Data!ExternalData_145</vt:lpstr>
      <vt:lpstr>数据Data!ExternalData_146</vt:lpstr>
      <vt:lpstr>数据Data!ExternalData_147</vt:lpstr>
      <vt:lpstr>数据Data!ExternalData_148</vt:lpstr>
      <vt:lpstr>数据Data!ExternalData_149</vt:lpstr>
      <vt:lpstr>数据Data!ExternalData_15</vt:lpstr>
      <vt:lpstr>数据Data!ExternalData_150</vt:lpstr>
      <vt:lpstr>数据Data!ExternalData_151</vt:lpstr>
      <vt:lpstr>数据Data!ExternalData_152</vt:lpstr>
      <vt:lpstr>数据Data!ExternalData_153</vt:lpstr>
      <vt:lpstr>数据Data!ExternalData_154</vt:lpstr>
      <vt:lpstr>数据Data!ExternalData_155</vt:lpstr>
      <vt:lpstr>数据Data!ExternalData_156</vt:lpstr>
      <vt:lpstr>数据Data!ExternalData_157</vt:lpstr>
      <vt:lpstr>数据Data!ExternalData_158</vt:lpstr>
      <vt:lpstr>数据Data!ExternalData_159</vt:lpstr>
      <vt:lpstr>数据Data!ExternalData_16</vt:lpstr>
      <vt:lpstr>数据Data!ExternalData_160</vt:lpstr>
      <vt:lpstr>数据Data!ExternalData_161</vt:lpstr>
      <vt:lpstr>数据Data!ExternalData_162</vt:lpstr>
      <vt:lpstr>数据Data!ExternalData_163</vt:lpstr>
      <vt:lpstr>数据Data!ExternalData_164</vt:lpstr>
      <vt:lpstr>数据Data!ExternalData_165</vt:lpstr>
      <vt:lpstr>数据Data!ExternalData_166</vt:lpstr>
      <vt:lpstr>数据Data!ExternalData_167</vt:lpstr>
      <vt:lpstr>数据Data!ExternalData_168</vt:lpstr>
      <vt:lpstr>数据Data!ExternalData_169</vt:lpstr>
      <vt:lpstr>数据Data!ExternalData_17</vt:lpstr>
      <vt:lpstr>数据Data!ExternalData_170</vt:lpstr>
      <vt:lpstr>数据Data!ExternalData_171</vt:lpstr>
      <vt:lpstr>数据Data!ExternalData_172</vt:lpstr>
      <vt:lpstr>数据Data!ExternalData_173</vt:lpstr>
      <vt:lpstr>数据Data!ExternalData_174</vt:lpstr>
      <vt:lpstr>数据Data!ExternalData_175</vt:lpstr>
      <vt:lpstr>数据Data!ExternalData_176</vt:lpstr>
      <vt:lpstr>数据Data!ExternalData_177</vt:lpstr>
      <vt:lpstr>数据Data!ExternalData_178</vt:lpstr>
      <vt:lpstr>数据Data!ExternalData_179</vt:lpstr>
      <vt:lpstr>数据Data!ExternalData_18</vt:lpstr>
      <vt:lpstr>数据Data!ExternalData_180</vt:lpstr>
      <vt:lpstr>数据Data!ExternalData_181</vt:lpstr>
      <vt:lpstr>数据Data!ExternalData_182</vt:lpstr>
      <vt:lpstr>数据Data!ExternalData_183</vt:lpstr>
      <vt:lpstr>数据Data!ExternalData_184</vt:lpstr>
      <vt:lpstr>数据Data!ExternalData_185</vt:lpstr>
      <vt:lpstr>数据Data!ExternalData_186</vt:lpstr>
      <vt:lpstr>数据Data!ExternalData_187</vt:lpstr>
      <vt:lpstr>数据Data!ExternalData_188</vt:lpstr>
      <vt:lpstr>数据Data!ExternalData_189</vt:lpstr>
      <vt:lpstr>数据Data!ExternalData_19</vt:lpstr>
      <vt:lpstr>数据Data!ExternalData_190</vt:lpstr>
      <vt:lpstr>数据Data!ExternalData_191</vt:lpstr>
      <vt:lpstr>数据Data!ExternalData_192</vt:lpstr>
      <vt:lpstr>数据Data!ExternalData_193</vt:lpstr>
      <vt:lpstr>数据Data!ExternalData_194</vt:lpstr>
      <vt:lpstr>数据Data!ExternalData_195</vt:lpstr>
      <vt:lpstr>数据Data!ExternalData_196</vt:lpstr>
      <vt:lpstr>数据Data!ExternalData_197</vt:lpstr>
      <vt:lpstr>数据Data!ExternalData_198</vt:lpstr>
      <vt:lpstr>数据Data!ExternalData_199</vt:lpstr>
      <vt:lpstr>数据Data!ExternalData_2</vt:lpstr>
      <vt:lpstr>数据Data!ExternalData_20</vt:lpstr>
      <vt:lpstr>数据Data!ExternalData_200</vt:lpstr>
      <vt:lpstr>数据Data!ExternalData_201</vt:lpstr>
      <vt:lpstr>数据Data!ExternalData_202</vt:lpstr>
      <vt:lpstr>数据Data!ExternalData_203</vt:lpstr>
      <vt:lpstr>数据Data!ExternalData_204</vt:lpstr>
      <vt:lpstr>数据Data!ExternalData_205</vt:lpstr>
      <vt:lpstr>数据Data!ExternalData_206</vt:lpstr>
      <vt:lpstr>数据Data!ExternalData_207</vt:lpstr>
      <vt:lpstr>数据Data!ExternalData_208</vt:lpstr>
      <vt:lpstr>数据Data!ExternalData_209</vt:lpstr>
      <vt:lpstr>数据Data!ExternalData_21</vt:lpstr>
      <vt:lpstr>数据Data!ExternalData_210</vt:lpstr>
      <vt:lpstr>数据Data!ExternalData_211</vt:lpstr>
      <vt:lpstr>数据Data!ExternalData_212</vt:lpstr>
      <vt:lpstr>数据Data!ExternalData_213</vt:lpstr>
      <vt:lpstr>数据Data!ExternalData_214</vt:lpstr>
      <vt:lpstr>数据Data!ExternalData_215</vt:lpstr>
      <vt:lpstr>数据Data!ExternalData_216</vt:lpstr>
      <vt:lpstr>数据Data!ExternalData_217</vt:lpstr>
      <vt:lpstr>数据Data!ExternalData_218</vt:lpstr>
      <vt:lpstr>数据Data!ExternalData_219</vt:lpstr>
      <vt:lpstr>数据Data!ExternalData_22</vt:lpstr>
      <vt:lpstr>数据Data!ExternalData_220</vt:lpstr>
      <vt:lpstr>数据Data!ExternalData_221</vt:lpstr>
      <vt:lpstr>数据Data!ExternalData_222</vt:lpstr>
      <vt:lpstr>数据Data!ExternalData_223</vt:lpstr>
      <vt:lpstr>数据Data!ExternalData_224</vt:lpstr>
      <vt:lpstr>数据Data!ExternalData_225</vt:lpstr>
      <vt:lpstr>数据Data!ExternalData_226</vt:lpstr>
      <vt:lpstr>数据Data!ExternalData_227</vt:lpstr>
      <vt:lpstr>数据Data!ExternalData_228</vt:lpstr>
      <vt:lpstr>数据Data!ExternalData_229</vt:lpstr>
      <vt:lpstr>数据Data!ExternalData_23</vt:lpstr>
      <vt:lpstr>数据Data!ExternalData_230</vt:lpstr>
      <vt:lpstr>数据Data!ExternalData_231</vt:lpstr>
      <vt:lpstr>数据Data!ExternalData_232</vt:lpstr>
      <vt:lpstr>数据Data!ExternalData_233</vt:lpstr>
      <vt:lpstr>数据Data!ExternalData_234</vt:lpstr>
      <vt:lpstr>数据Data!ExternalData_235</vt:lpstr>
      <vt:lpstr>数据Data!ExternalData_236</vt:lpstr>
      <vt:lpstr>数据Data!ExternalData_237</vt:lpstr>
      <vt:lpstr>数据Data!ExternalData_238</vt:lpstr>
      <vt:lpstr>数据Data!ExternalData_239</vt:lpstr>
      <vt:lpstr>数据Data!ExternalData_24</vt:lpstr>
      <vt:lpstr>数据Data!ExternalData_240</vt:lpstr>
      <vt:lpstr>数据Data!ExternalData_241</vt:lpstr>
      <vt:lpstr>数据Data!ExternalData_242</vt:lpstr>
      <vt:lpstr>数据Data!ExternalData_243</vt:lpstr>
      <vt:lpstr>数据Data!ExternalData_25</vt:lpstr>
      <vt:lpstr>数据Data!ExternalData_26</vt:lpstr>
      <vt:lpstr>数据Data!ExternalData_27</vt:lpstr>
      <vt:lpstr>数据Data!ExternalData_28</vt:lpstr>
      <vt:lpstr>数据Data!ExternalData_29</vt:lpstr>
      <vt:lpstr>数据Data!ExternalData_3</vt:lpstr>
      <vt:lpstr>数据Data!ExternalData_30</vt:lpstr>
      <vt:lpstr>数据Data!ExternalData_31</vt:lpstr>
      <vt:lpstr>数据Data!ExternalData_32</vt:lpstr>
      <vt:lpstr>数据Data!ExternalData_33</vt:lpstr>
      <vt:lpstr>数据Data!ExternalData_34</vt:lpstr>
      <vt:lpstr>数据Data!ExternalData_35</vt:lpstr>
      <vt:lpstr>数据Data!ExternalData_36</vt:lpstr>
      <vt:lpstr>数据Data!ExternalData_37</vt:lpstr>
      <vt:lpstr>数据Data!ExternalData_38</vt:lpstr>
      <vt:lpstr>数据Data!ExternalData_39</vt:lpstr>
      <vt:lpstr>数据Data!ExternalData_4</vt:lpstr>
      <vt:lpstr>数据Data!ExternalData_40</vt:lpstr>
      <vt:lpstr>数据Data!ExternalData_41</vt:lpstr>
      <vt:lpstr>数据Data!ExternalData_42</vt:lpstr>
      <vt:lpstr>数据Data!ExternalData_43</vt:lpstr>
      <vt:lpstr>数据Data!ExternalData_44</vt:lpstr>
      <vt:lpstr>数据Data!ExternalData_45</vt:lpstr>
      <vt:lpstr>数据Data!ExternalData_46</vt:lpstr>
      <vt:lpstr>数据Data!ExternalData_47</vt:lpstr>
      <vt:lpstr>数据Data!ExternalData_48</vt:lpstr>
      <vt:lpstr>数据Data!ExternalData_49</vt:lpstr>
      <vt:lpstr>数据Data!ExternalData_50</vt:lpstr>
      <vt:lpstr>数据Data!ExternalData_51</vt:lpstr>
      <vt:lpstr>数据Data!ExternalData_52</vt:lpstr>
      <vt:lpstr>数据Data!ExternalData_53</vt:lpstr>
      <vt:lpstr>数据Data!ExternalData_54</vt:lpstr>
      <vt:lpstr>数据Data!ExternalData_55</vt:lpstr>
      <vt:lpstr>数据Data!ExternalData_56</vt:lpstr>
      <vt:lpstr>数据Data!ExternalData_57</vt:lpstr>
      <vt:lpstr>数据Data!ExternalData_58</vt:lpstr>
      <vt:lpstr>数据Data!ExternalData_59</vt:lpstr>
      <vt:lpstr>数据Data!ExternalData_6</vt:lpstr>
      <vt:lpstr>数据Data!ExternalData_61</vt:lpstr>
      <vt:lpstr>数据Data!ExternalData_62</vt:lpstr>
      <vt:lpstr>数据Data!ExternalData_63</vt:lpstr>
      <vt:lpstr>数据Data!ExternalData_64</vt:lpstr>
      <vt:lpstr>数据Data!ExternalData_65</vt:lpstr>
      <vt:lpstr>数据Data!ExternalData_66</vt:lpstr>
      <vt:lpstr>数据Data!ExternalData_67</vt:lpstr>
      <vt:lpstr>数据Data!ExternalData_68</vt:lpstr>
      <vt:lpstr>数据Data!ExternalData_69</vt:lpstr>
      <vt:lpstr>数据Data!ExternalData_70</vt:lpstr>
      <vt:lpstr>数据Data!ExternalData_71</vt:lpstr>
      <vt:lpstr>数据Data!ExternalData_72</vt:lpstr>
      <vt:lpstr>数据Data!ExternalData_73</vt:lpstr>
      <vt:lpstr>数据Data!ExternalData_74</vt:lpstr>
      <vt:lpstr>数据Data!ExternalData_75</vt:lpstr>
      <vt:lpstr>数据Data!ExternalData_76</vt:lpstr>
      <vt:lpstr>数据Data!ExternalData_77</vt:lpstr>
      <vt:lpstr>数据Data!ExternalData_78</vt:lpstr>
      <vt:lpstr>数据Data!ExternalData_79</vt:lpstr>
      <vt:lpstr>数据Data!ExternalData_8</vt:lpstr>
      <vt:lpstr>数据Data!ExternalData_80</vt:lpstr>
      <vt:lpstr>数据Data!ExternalData_81</vt:lpstr>
      <vt:lpstr>数据Data!ExternalData_82</vt:lpstr>
      <vt:lpstr>数据Data!ExternalData_83</vt:lpstr>
      <vt:lpstr>数据Data!ExternalData_84</vt:lpstr>
      <vt:lpstr>数据Data!ExternalData_85</vt:lpstr>
      <vt:lpstr>数据Data!ExternalData_86</vt:lpstr>
      <vt:lpstr>startDate</vt:lpstr>
      <vt:lpstr>ticker</vt:lpstr>
    </vt:vector>
  </TitlesOfParts>
  <Company>不写代码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不写代码</cp:lastModifiedBy>
  <dcterms:created xsi:type="dcterms:W3CDTF">2011-05-29T20:49:38Z</dcterms:created>
  <dcterms:modified xsi:type="dcterms:W3CDTF">2019-11-19T09:29:30Z</dcterms:modified>
</cp:coreProperties>
</file>